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4200" windowHeight="21460" tabRatio="600" firstSheet="2" activeTab="8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gent Context" sheetId="2" state="visible" r:id="rId2"/>
    <sheet xmlns:r="http://schemas.openxmlformats.org/officeDocument/2006/relationships" name="0. Rack Profile" sheetId="3" state="visible" r:id="rId3"/>
    <sheet xmlns:r="http://schemas.openxmlformats.org/officeDocument/2006/relationships" name="1. Module Criteria" sheetId="4" state="visible" r:id="rId4"/>
    <sheet xmlns:r="http://schemas.openxmlformats.org/officeDocument/2006/relationships" name="2. Module Capex" sheetId="5" state="visible" r:id="rId5"/>
    <sheet xmlns:r="http://schemas.openxmlformats.org/officeDocument/2006/relationships" name="3. Module Opex" sheetId="6" state="visible" r:id="rId6"/>
    <sheet xmlns:r="http://schemas.openxmlformats.org/officeDocument/2006/relationships" name="4. Module Flow" sheetId="7" state="visible" r:id="rId7"/>
    <sheet xmlns:r="http://schemas.openxmlformats.org/officeDocument/2006/relationships" name="5. Buyer Profile" sheetId="8" state="visible" r:id="rId8"/>
    <sheet xmlns:r="http://schemas.openxmlformats.org/officeDocument/2006/relationships" name="6. System Capex" sheetId="9" state="visible" r:id="rId9"/>
    <sheet xmlns:r="http://schemas.openxmlformats.org/officeDocument/2006/relationships" name="7. System Opex" sheetId="10" state="visible" r:id="rId10"/>
    <sheet xmlns:r="http://schemas.openxmlformats.org/officeDocument/2006/relationships" name="8. System Flow" sheetId="11" state="visible" r:id="rId11"/>
    <sheet xmlns:r="http://schemas.openxmlformats.org/officeDocument/2006/relationships" name="9. System P&amp;L" sheetId="12" state="visible" r:id="rId12"/>
    <sheet xmlns:r="http://schemas.openxmlformats.org/officeDocument/2006/relationships" name="11. Reference Data" sheetId="13" state="visible" r:id="rId13"/>
    <sheet xmlns:r="http://schemas.openxmlformats.org/officeDocument/2006/relationships" name="12. Process Library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\£#,##0"/>
    <numFmt numFmtId="165" formatCode="0.0%"/>
    <numFmt numFmtId="166" formatCode="0.0"/>
    <numFmt numFmtId="167" formatCode="#,##0.0"/>
    <numFmt numFmtId="168" formatCode="\£#,##0.00"/>
    <numFmt numFmtId="169" formatCode="#,##0.000"/>
    <numFmt numFmtId="170" formatCode="\£#,##0.0000"/>
    <numFmt numFmtId="171" formatCode="_(* #,##0_);_(* \(#,##0\);_(* &quot;-&quot;??_);_(@_)"/>
    <numFmt numFmtId="172" formatCode="£#,##0"/>
    <numFmt numFmtId="173" formatCode="£#,##0.00"/>
  </numFmts>
  <fonts count="2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FF"/>
      <sz val="11"/>
    </font>
    <font>
      <name val="Calibri"/>
      <color rgb="FF008000"/>
      <sz val="11"/>
    </font>
    <font>
      <name val="Calibri"/>
      <b val="1"/>
      <sz val="11"/>
    </font>
    <font>
      <name val="Calibri"/>
      <b val="1"/>
      <sz val="12"/>
    </font>
    <font>
      <name val="Calibri"/>
      <color rgb="FF0000FF"/>
      <sz val="11"/>
      <u val="single"/>
    </font>
    <font>
      <name val="Calibri"/>
      <sz val="11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FFFFFF"/>
      <sz val="11"/>
    </font>
    <font>
      <name val="Calibri"/>
      <color rgb="FF0000FF"/>
      <sz val="11"/>
    </font>
    <font>
      <name val="Calibri"/>
      <color rgb="FF000000"/>
      <sz val="11"/>
    </font>
    <font>
      <name val="Calibri"/>
      <color rgb="FF008000"/>
      <sz val="11"/>
    </font>
    <font>
      <name val="Calibri"/>
      <b val="1"/>
      <sz val="11"/>
    </font>
    <font>
      <name val="Calibri"/>
      <sz val="11"/>
    </font>
    <font>
      <name val="Calibri"/>
      <b val="1"/>
      <sz val="14"/>
    </font>
    <font>
      <name val="Calibri"/>
      <i val="1"/>
      <color rgb="FF666666"/>
      <sz val="9"/>
    </font>
    <font>
      <name val="Calibri"/>
      <b val="1"/>
      <color rgb="FFFFFFFF"/>
      <sz val="11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1"/>
      <scheme val="minor"/>
    </font>
    <font>
      <name val="Calibri"/>
      <family val="2"/>
      <color rgb="FF0000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sz val="11"/>
    </font>
  </fonts>
  <fills count="13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72C4"/>
        <bgColor rgb="FF4472C4"/>
      </patternFill>
    </fill>
    <fill>
      <patternFill patternType="solid">
        <fgColor rgb="FFB8CCE4"/>
        <bgColor rgb="FFB8CCE4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2F5496"/>
        <bgColor rgb="FF2F5496"/>
      </patternFill>
    </fill>
    <fill>
      <patternFill patternType="solid">
        <fgColor rgb="FFD9E2F3"/>
        <bgColor rgb="FFD9E2F3"/>
      </patternFill>
    </fill>
    <fill>
      <patternFill patternType="solid">
        <fgColor rgb="FFB8CCE4"/>
        <bgColor rgb="FFB8CCE4"/>
      </patternFill>
    </fill>
    <fill>
      <patternFill patternType="solid">
        <fgColor rgb="FF4472C4"/>
        <bgColor rgb="FF4472C4"/>
      </patternFill>
    </fill>
    <fill>
      <patternFill patternType="solid">
        <fgColor rgb="00FFFF00"/>
        <bgColor rgb="00FFFF00"/>
      </patternFill>
    </fill>
    <fill>
      <patternFill patternType="solid">
        <fgColor rgb="00B8CCE4"/>
        <bgColor rgb="00B8CCE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hair">
        <color rgb="FFCCCCCC"/>
      </bottom>
      <diagonal/>
    </border>
  </borders>
  <cellStyleXfs count="3">
    <xf numFmtId="0" fontId="22" fillId="0" borderId="5"/>
    <xf numFmtId="43" fontId="22" fillId="0" borderId="5"/>
    <xf numFmtId="9" fontId="22" fillId="0" borderId="5"/>
  </cellStyleXfs>
  <cellXfs count="117">
    <xf numFmtId="0" fontId="0" fillId="0" borderId="0" pivotButton="0" quotePrefix="0" xfId="0"/>
    <xf numFmtId="0" fontId="1" fillId="0" borderId="0" pivotButton="0" quotePrefix="0" xfId="0"/>
    <xf numFmtId="9" fontId="2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0" fontId="0" fillId="0" borderId="1" pivotButton="0" quotePrefix="0" xfId="0"/>
    <xf numFmtId="0" fontId="8" fillId="3" borderId="0" pivotButton="0" quotePrefix="0" xfId="0"/>
    <xf numFmtId="9" fontId="7" fillId="0" borderId="0" pivotButton="0" quotePrefix="0" xfId="0"/>
    <xf numFmtId="0" fontId="4" fillId="4" borderId="0" pivotButton="0" quotePrefix="0" xfId="0"/>
    <xf numFmtId="164" fontId="4" fillId="4" borderId="0" pivotButton="0" quotePrefix="0" xfId="0"/>
    <xf numFmtId="0" fontId="0" fillId="4" borderId="0" pivotButton="0" quotePrefix="0" xfId="0"/>
    <xf numFmtId="164" fontId="4" fillId="0" borderId="0" pivotButton="0" quotePrefix="0" xfId="0"/>
    <xf numFmtId="0" fontId="7" fillId="0" borderId="0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7" fillId="2" borderId="0" pivotButton="0" quotePrefix="0" xfId="0"/>
    <xf numFmtId="3" fontId="2" fillId="2" borderId="2" pivotButton="0" quotePrefix="0" xfId="0"/>
    <xf numFmtId="168" fontId="2" fillId="2" borderId="2" pivotButton="0" quotePrefix="0" xfId="0"/>
    <xf numFmtId="0" fontId="2" fillId="2" borderId="2" pivotButton="0" quotePrefix="0" xfId="0"/>
    <xf numFmtId="164" fontId="2" fillId="2" borderId="2" pivotButton="0" quotePrefix="0" xfId="0"/>
    <xf numFmtId="9" fontId="2" fillId="2" borderId="2" pivotButton="0" quotePrefix="0" xfId="0"/>
    <xf numFmtId="3" fontId="9" fillId="0" borderId="0" pivotButton="0" quotePrefix="0" xfId="0"/>
    <xf numFmtId="0" fontId="9" fillId="0" borderId="0" pivotButton="0" quotePrefix="0" xfId="0"/>
    <xf numFmtId="167" fontId="9" fillId="0" borderId="0" pivotButton="0" quotePrefix="0" xfId="0"/>
    <xf numFmtId="165" fontId="9" fillId="0" borderId="0" pivotButton="0" quotePrefix="0" xfId="0"/>
    <xf numFmtId="9" fontId="9" fillId="0" borderId="0" pivotButton="0" quotePrefix="0" xfId="0"/>
    <xf numFmtId="169" fontId="9" fillId="0" borderId="0" pivotButton="0" quotePrefix="0" xfId="0"/>
    <xf numFmtId="170" fontId="9" fillId="0" borderId="0" pivotButton="0" quotePrefix="0" xfId="0"/>
    <xf numFmtId="164" fontId="9" fillId="0" borderId="0" pivotButton="0" quotePrefix="0" xfId="0"/>
    <xf numFmtId="2" fontId="9" fillId="0" borderId="0" pivotButton="0" quotePrefix="0" xfId="0"/>
    <xf numFmtId="166" fontId="9" fillId="0" borderId="0" pivotButton="0" quotePrefix="0" xfId="0"/>
    <xf numFmtId="1" fontId="9" fillId="0" borderId="0" pivotButton="0" quotePrefix="0" xfId="0"/>
    <xf numFmtId="0" fontId="10" fillId="4" borderId="0" pivotButton="0" quotePrefix="0" xfId="0"/>
    <xf numFmtId="0" fontId="10" fillId="0" borderId="0" pivotButton="0" quotePrefix="0" xfId="0"/>
    <xf numFmtId="164" fontId="10" fillId="4" borderId="0" pivotButton="0" quotePrefix="0" xfId="0"/>
    <xf numFmtId="164" fontId="8" fillId="3" borderId="0" pivotButton="0" quotePrefix="0" xfId="0"/>
    <xf numFmtId="3" fontId="8" fillId="3" borderId="0" pivotButton="0" quotePrefix="0" xfId="0"/>
    <xf numFmtId="0" fontId="10" fillId="4" borderId="1" pivotButton="0" quotePrefix="0" xfId="0"/>
    <xf numFmtId="0" fontId="9" fillId="0" borderId="1" pivotButton="0" quotePrefix="0" xfId="0"/>
    <xf numFmtId="0" fontId="10" fillId="4" borderId="2" pivotButton="0" quotePrefix="0" xfId="0"/>
    <xf numFmtId="0" fontId="4" fillId="3" borderId="0" pivotButton="0" quotePrefix="0" xfId="0"/>
    <xf numFmtId="0" fontId="8" fillId="4" borderId="0" pivotButton="0" quotePrefix="0" xfId="0"/>
    <xf numFmtId="166" fontId="10" fillId="4" borderId="0" pivotButton="0" quotePrefix="0" xfId="0"/>
    <xf numFmtId="165" fontId="10" fillId="4" borderId="0" pivotButton="0" quotePrefix="0" xfId="0"/>
    <xf numFmtId="164" fontId="10" fillId="0" borderId="0" pivotButton="0" quotePrefix="0" xfId="0"/>
    <xf numFmtId="165" fontId="10" fillId="0" borderId="2" pivotButton="0" quotePrefix="0" xfId="0"/>
    <xf numFmtId="0" fontId="11" fillId="5" borderId="0" pivotButton="0" quotePrefix="0" xfId="0"/>
    <xf numFmtId="0" fontId="12" fillId="6" borderId="3" pivotButton="0" quotePrefix="0" xfId="0"/>
    <xf numFmtId="9" fontId="14" fillId="0" borderId="2" pivotButton="0" quotePrefix="0" xfId="0"/>
    <xf numFmtId="0" fontId="13" fillId="0" borderId="0" pivotButton="0" quotePrefix="0" xfId="0"/>
    <xf numFmtId="0" fontId="12" fillId="6" borderId="4" pivotButton="0" quotePrefix="0" xfId="0"/>
    <xf numFmtId="0" fontId="14" fillId="0" borderId="0" pivotButton="0" quotePrefix="0" xfId="0"/>
    <xf numFmtId="0" fontId="15" fillId="0" borderId="0" pivotButton="0" quotePrefix="0" xfId="0"/>
    <xf numFmtId="0" fontId="15" fillId="4" borderId="1" pivotButton="0" quotePrefix="0" xfId="0"/>
    <xf numFmtId="0" fontId="12" fillId="6" borderId="1" pivotButton="0" quotePrefix="0" xfId="0"/>
    <xf numFmtId="0" fontId="14" fillId="2" borderId="2" pivotButton="0" quotePrefix="0" xfId="0"/>
    <xf numFmtId="0" fontId="17" fillId="0" borderId="5" pivotButton="0" quotePrefix="0" xfId="0"/>
    <xf numFmtId="0" fontId="16" fillId="0" borderId="5" pivotButton="0" quotePrefix="0" xfId="0"/>
    <xf numFmtId="0" fontId="18" fillId="0" borderId="5" pivotButton="0" quotePrefix="0" xfId="0"/>
    <xf numFmtId="0" fontId="19" fillId="7" borderId="5" pivotButton="0" quotePrefix="0" xfId="0"/>
    <xf numFmtId="0" fontId="20" fillId="0" borderId="6" applyAlignment="1" pivotButton="0" quotePrefix="0" xfId="0">
      <alignment vertical="top"/>
    </xf>
    <xf numFmtId="0" fontId="21" fillId="0" borderId="6" applyAlignment="1" pivotButton="0" quotePrefix="0" xfId="0">
      <alignment vertical="top" wrapText="1"/>
    </xf>
    <xf numFmtId="0" fontId="20" fillId="8" borderId="5" pivotButton="0" quotePrefix="0" xfId="0"/>
    <xf numFmtId="0" fontId="19" fillId="7" borderId="6" applyAlignment="1" pivotButton="0" quotePrefix="0" xfId="0">
      <alignment vertical="top"/>
    </xf>
    <xf numFmtId="0" fontId="19" fillId="7" borderId="6" applyAlignment="1" pivotButton="0" quotePrefix="0" xfId="0">
      <alignment vertical="top" wrapText="1"/>
    </xf>
    <xf numFmtId="0" fontId="19" fillId="5" borderId="0" pivotButton="0" quotePrefix="0" xfId="0"/>
    <xf numFmtId="9" fontId="9" fillId="0" borderId="0" pivotButton="0" quotePrefix="0" xfId="2"/>
    <xf numFmtId="0" fontId="9" fillId="0" borderId="0" applyAlignment="1" pivotButton="0" quotePrefix="0" xfId="0">
      <alignment horizontal="right"/>
    </xf>
    <xf numFmtId="0" fontId="8" fillId="3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3" fontId="9" fillId="0" borderId="0" applyAlignment="1" pivotButton="0" quotePrefix="0" xfId="0">
      <alignment horizontal="right"/>
    </xf>
    <xf numFmtId="0" fontId="2" fillId="2" borderId="2" applyAlignment="1" pivotButton="0" quotePrefix="0" xfId="0">
      <alignment horizontal="right"/>
    </xf>
    <xf numFmtId="0" fontId="10" fillId="4" borderId="0" applyAlignment="1" pivotButton="0" quotePrefix="0" xfId="0">
      <alignment horizontal="right"/>
    </xf>
    <xf numFmtId="171" fontId="9" fillId="0" borderId="0" applyAlignment="1" pivotButton="0" quotePrefix="0" xfId="1">
      <alignment horizontal="right"/>
    </xf>
    <xf numFmtId="167" fontId="9" fillId="0" borderId="0" applyAlignment="1" pivotButton="0" quotePrefix="0" xfId="0">
      <alignment horizontal="right"/>
    </xf>
    <xf numFmtId="43" fontId="13" fillId="0" borderId="0" applyAlignment="1" pivotButton="0" quotePrefix="0" xfId="1">
      <alignment horizontal="right"/>
    </xf>
    <xf numFmtId="165" fontId="9" fillId="0" borderId="0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43" fontId="9" fillId="0" borderId="0" applyAlignment="1" pivotButton="0" quotePrefix="0" xfId="1">
      <alignment horizontal="right"/>
    </xf>
    <xf numFmtId="43" fontId="14" fillId="0" borderId="0" applyAlignment="1" pivotButton="0" quotePrefix="0" xfId="1">
      <alignment horizontal="right"/>
    </xf>
    <xf numFmtId="43" fontId="0" fillId="0" borderId="0" applyAlignment="1" pivotButton="0" quotePrefix="0" xfId="1">
      <alignment horizontal="right"/>
    </xf>
    <xf numFmtId="0" fontId="13" fillId="0" borderId="0" applyAlignment="1" pivotButton="0" quotePrefix="0" xfId="0">
      <alignment horizontal="right"/>
    </xf>
    <xf numFmtId="3" fontId="2" fillId="2" borderId="2" applyAlignment="1" pivotButton="0" quotePrefix="0" xfId="0">
      <alignment horizontal="right"/>
    </xf>
    <xf numFmtId="0" fontId="23" fillId="2" borderId="2" applyAlignment="1" pivotButton="0" quotePrefix="0" xfId="0">
      <alignment horizontal="right"/>
    </xf>
    <xf numFmtId="0" fontId="24" fillId="9" borderId="0" pivotButton="0" quotePrefix="0" xfId="0"/>
    <xf numFmtId="164" fontId="24" fillId="9" borderId="0" pivotButton="0" quotePrefix="0" xfId="0"/>
    <xf numFmtId="0" fontId="24" fillId="9" borderId="0" applyAlignment="1" pivotButton="0" quotePrefix="0" xfId="0">
      <alignment horizontal="right"/>
    </xf>
    <xf numFmtId="0" fontId="25" fillId="10" borderId="0" pivotButton="0" quotePrefix="0" xfId="0"/>
    <xf numFmtId="0" fontId="26" fillId="0" borderId="0" pivotButton="0" quotePrefix="0" xfId="0"/>
    <xf numFmtId="0" fontId="22" fillId="0" borderId="0" pivotButton="0" quotePrefix="0" xfId="0"/>
    <xf numFmtId="0" fontId="0" fillId="0" borderId="5" pivotButton="0" quotePrefix="0" xfId="0"/>
    <xf numFmtId="0" fontId="9" fillId="0" borderId="5" pivotButton="0" quotePrefix="0" xfId="0"/>
    <xf numFmtId="0" fontId="9" fillId="0" borderId="5" applyAlignment="1" pivotButton="0" quotePrefix="0" xfId="0">
      <alignment horizontal="right"/>
    </xf>
    <xf numFmtId="0" fontId="26" fillId="0" borderId="5" pivotButton="0" quotePrefix="0" xfId="0"/>
    <xf numFmtId="0" fontId="22" fillId="0" borderId="5" pivotButton="0" quotePrefix="0" xfId="0"/>
    <xf numFmtId="43" fontId="22" fillId="0" borderId="5" pivotButton="0" quotePrefix="0" xfId="1"/>
    <xf numFmtId="172" fontId="9" fillId="0" borderId="0" pivotButton="0" quotePrefix="0" xfId="0"/>
    <xf numFmtId="172" fontId="10" fillId="0" borderId="0" pivotButton="0" quotePrefix="0" xfId="0"/>
    <xf numFmtId="172" fontId="10" fillId="4" borderId="0" pivotButton="0" quotePrefix="0" xfId="0"/>
    <xf numFmtId="167" fontId="22" fillId="0" borderId="5" pivotButton="0" quotePrefix="0" xfId="1"/>
    <xf numFmtId="3" fontId="22" fillId="0" borderId="5" pivotButton="0" quotePrefix="0" xfId="1"/>
    <xf numFmtId="172" fontId="22" fillId="0" borderId="5" pivotButton="0" quotePrefix="0" xfId="1"/>
    <xf numFmtId="172" fontId="24" fillId="9" borderId="0" pivotButton="0" quotePrefix="0" xfId="0"/>
    <xf numFmtId="165" fontId="10" fillId="11" borderId="2" pivotButton="0" quotePrefix="0" xfId="0"/>
    <xf numFmtId="172" fontId="22" fillId="12" borderId="5" pivotButton="0" quotePrefix="0" xfId="1"/>
    <xf numFmtId="173" fontId="2" fillId="2" borderId="2" pivotButton="0" quotePrefix="0" xfId="0"/>
    <xf numFmtId="165" fontId="2" fillId="2" borderId="2" pivotButton="0" quotePrefix="0" xfId="0"/>
  </cellXfs>
  <cellStyles count="3">
    <cellStyle name="Normal" xfId="0" builtinId="0"/>
    <cellStyle name="Comma" xfId="1" builtinId="3"/>
    <cellStyle name="Per cent" xfId="2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dairyprocessinghandbook.tetrapak.com/chapter/heat-exchangers" TargetMode="External" Id="rId1"/><Relationship Type="http://schemas.openxmlformats.org/officeDocument/2006/relationships/hyperlink" Target="https://www.csidesigns.com/blog/articles/how-heat-exchangers-work-during-clean-in-place" TargetMode="External" Id="rId2"/><Relationship Type="http://schemas.openxmlformats.org/officeDocument/2006/relationships/hyperlink" Target="https://www.gea.com/en/products/brewery-systems" TargetMode="External" Id="rId3"/><Relationship Type="http://schemas.openxmlformats.org/officeDocument/2006/relationships/hyperlink" Target="https://www.durr.com/en/products-and-services/cleaning-technology" TargetMode="External" Id="rId4"/><Relationship Type="http://schemas.openxmlformats.org/officeDocument/2006/relationships/hyperlink" Target="https://www.aerco.com/dfsmedia/0533dbba17714b1ab581ab07a4cbb521/58930-source/sizing-laundry-hot-water-systems" TargetMode="External" Id="rId5"/><Relationship Type="http://schemas.openxmlformats.org/officeDocument/2006/relationships/hyperlink" Target="https://extension.okstate.edu/fact-sheets/fundamental-aspects-of-kiln-drying-lumber.html" TargetMode="External" Id="rId6"/><Relationship Type="http://schemas.openxmlformats.org/officeDocument/2006/relationships/hyperlink" Target="https://www.durr.com/en/products-and-services/paint-systems" TargetMode="External" Id="rId7"/><Relationship Type="http://schemas.openxmlformats.org/officeDocument/2006/relationships/hyperlink" Target="https://www.monforts.de/en/" TargetMode="External" Id="rId8"/><Relationship Type="http://schemas.openxmlformats.org/officeDocument/2006/relationships/hyperlink" Target="https://www.cibsejournal.com/technical/the-perfect-return-heat-network-return-temperatures/" TargetMode="External" Id="rId9"/><Relationship Type="http://schemas.openxmlformats.org/officeDocument/2006/relationships/hyperlink" Target="https://www.trane.com/content/dam/Trane/Commercial/global/products-systems/education-training/engineers-newsletters/standards-codes/ADM-APN070-EN_06032019.pdf" TargetMode="External" Id="rId10"/><Relationship Type="http://schemas.openxmlformats.org/officeDocument/2006/relationships/hyperlink" Target="https://www.kensaheatpumps.com/wp-content/uploads/2014/09/AIS&#8212;Heat-pumps-and-swimming-pools-&#8212;2.0_with_metadata.pdf" TargetMode="External" Id="rId11"/><Relationship Type="http://schemas.openxmlformats.org/officeDocument/2006/relationships/hyperlink" Target="https://dutchgreenhouses.com/en/climate/heating" TargetMode="External" Id="rId12"/><Relationship Type="http://schemas.openxmlformats.org/officeDocument/2006/relationships/hyperlink" Target="https://www.icheme.org/" TargetMode="External" Id="rId13"/><Relationship Type="http://schemas.openxmlformats.org/officeDocument/2006/relationships/hyperlink" Target="https://www.clarke-energy.com/applications/breweries/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10" defaultColWidth="8.83203125" defaultRowHeight="15"/>
  <cols>
    <col width="25" customWidth="1" min="1" max="1"/>
    <col width="20" customWidth="1" min="2" max="2"/>
    <col width="70" customWidth="1" min="3" max="3"/>
  </cols>
  <sheetData>
    <row r="1">
      <c r="A1" s="15" t="inlineStr">
        <is>
          <t>TRIBE DIGITAL BOILER MODEL</t>
        </is>
      </c>
      <c r="B1" s="9" t="n"/>
      <c r="C1" s="9" t="n"/>
      <c r="D1" s="9" t="n"/>
      <c r="E1" s="15" t="n"/>
    </row>
    <row r="2">
      <c r="A2" s="9" t="inlineStr">
        <is>
          <t>Economic model for modular data centre heat recovery</t>
        </is>
      </c>
      <c r="B2" s="9" t="n"/>
      <c r="C2" s="9" t="n"/>
      <c r="D2" s="9" t="n"/>
    </row>
    <row r="3">
      <c r="A3" s="9" t="inlineStr">
        <is>
          <t>Version 3.1 - Dynamic Capex | January 2026</t>
        </is>
      </c>
      <c r="B3" s="9" t="n"/>
      <c r="C3" s="9" t="n"/>
      <c r="D3" s="9" t="n"/>
    </row>
    <row r="4">
      <c r="A4" s="9" t="n"/>
      <c r="B4" s="9" t="n"/>
      <c r="C4" s="9" t="n"/>
      <c r="D4" s="9" t="n"/>
    </row>
    <row r="5">
      <c r="A5" s="41" t="inlineStr">
        <is>
          <t>HOW TO USE THIS MODEL</t>
        </is>
      </c>
      <c r="B5" s="17" t="n"/>
      <c r="C5" s="17" t="n"/>
      <c r="D5" s="17" t="n"/>
      <c r="E5" s="17" t="n"/>
    </row>
    <row r="6">
      <c r="A6" s="9" t="n"/>
      <c r="B6" s="9" t="n"/>
      <c r="C6" s="9" t="n"/>
      <c r="D6" s="9" t="n"/>
    </row>
    <row r="7" ht="45" customHeight="1">
      <c r="A7" s="42" t="inlineStr">
        <is>
          <t>Step 1</t>
        </is>
      </c>
      <c r="B7" s="4" t="inlineStr">
        <is>
          <t>Configure Hardware</t>
        </is>
      </c>
      <c r="C7" s="9" t="inlineStr">
        <is>
          <t>Go to '0. Rack Profile' and select your chipset (dropdown in B6) and cooling method (dropdown in B17). Optionally adjust the module IT capacity target (B36).</t>
        </is>
      </c>
      <c r="D7" s="9" t="n"/>
    </row>
    <row r="8" ht="45" customHeight="1">
      <c r="A8" s="42" t="inlineStr">
        <is>
          <t>Step 2</t>
        </is>
      </c>
      <c r="B8" s="4" t="inlineStr">
        <is>
          <t>Review Module Specs</t>
        </is>
      </c>
      <c r="C8" s="21" t="inlineStr">
        <is>
          <t>Check '1. Module Criteria' to see the resulting module specifications. Enable/disable heat pump (B15) and set output temperature if needed.</t>
        </is>
      </c>
      <c r="D8" s="9" t="n"/>
    </row>
    <row r="9" ht="45" customHeight="1">
      <c r="A9" s="42" t="inlineStr">
        <is>
          <t>Step 3</t>
        </is>
      </c>
      <c r="B9" s="4" t="inlineStr">
        <is>
          <t>Check Capex</t>
        </is>
      </c>
      <c r="C9" s="21" t="inlineStr">
        <is>
          <t>Review '2. Module Capex' - costs are calculated automatically from your hardware choices. Adjust Reference Data rates if needed.</t>
        </is>
      </c>
      <c r="D9" s="9" t="n"/>
    </row>
    <row r="10" ht="45" customHeight="1">
      <c r="A10" s="42" t="inlineStr">
        <is>
          <t>Step 4</t>
        </is>
      </c>
      <c r="B10" s="20" t="inlineStr">
        <is>
          <t>Select Customer Process</t>
        </is>
      </c>
      <c r="C10" s="21" t="inlineStr">
        <is>
          <t>Go to '5. Buyer Profile' and select an industrial process from the dropdown (B11). The model calculates how many modules are needed.</t>
        </is>
      </c>
      <c r="D10" s="9" t="n"/>
    </row>
    <row r="11" ht="45" customHeight="1">
      <c r="A11" s="42" t="inlineStr">
        <is>
          <t>Step 5</t>
        </is>
      </c>
      <c r="B11" s="20" t="inlineStr">
        <is>
          <t>Review System Economics</t>
        </is>
      </c>
      <c r="C11" s="21" t="inlineStr">
        <is>
          <t>Check '6. System Capex' for total investment, '9. System P&amp;L' for revenue and profit analysis.</t>
        </is>
      </c>
      <c r="D11" s="9" t="n"/>
    </row>
    <row r="12" ht="45" customHeight="1">
      <c r="A12" s="42" t="inlineStr">
        <is>
          <t>Step 6</t>
        </is>
      </c>
      <c r="B12" s="4" t="inlineStr">
        <is>
          <t>Adjust Assumptions</t>
        </is>
      </c>
      <c r="C12" s="21" t="inlineStr">
        <is>
          <t>Fine-tune costs in '11. Reference Data' (yellow cells). All downstream calculations update automatically.</t>
        </is>
      </c>
      <c r="D12" s="9" t="n"/>
    </row>
    <row r="13" ht="45" customHeight="1">
      <c r="A13" s="9" t="n"/>
      <c r="B13" s="9" t="n"/>
      <c r="C13" s="21" t="n"/>
      <c r="D13" s="9" t="n"/>
    </row>
    <row r="14" ht="45" customHeight="1">
      <c r="A14" s="41" t="inlineStr">
        <is>
          <t>MODEL STRUCTURE</t>
        </is>
      </c>
      <c r="B14" s="18" t="n"/>
      <c r="C14" s="22" t="n"/>
      <c r="D14" s="17" t="n"/>
      <c r="E14" s="19" t="n"/>
    </row>
    <row r="15" ht="45" customHeight="1">
      <c r="A15" s="9" t="n"/>
      <c r="B15" s="10" t="n"/>
      <c r="C15" s="21" t="n"/>
      <c r="D15" s="9" t="n"/>
    </row>
    <row r="16" ht="45" customHeight="1">
      <c r="A16" s="4" t="inlineStr">
        <is>
          <t>Sheet</t>
        </is>
      </c>
      <c r="B16" s="4" t="inlineStr">
        <is>
          <t>Purpose</t>
        </is>
      </c>
      <c r="C16" s="23" t="inlineStr">
        <is>
          <t>Key Features</t>
        </is>
      </c>
      <c r="D16" s="9" t="n"/>
    </row>
    <row r="17" ht="45" customHeight="1">
      <c r="A17" s="9" t="inlineStr">
        <is>
          <t>0. Rack Profile</t>
        </is>
      </c>
      <c r="B17" s="9" t="inlineStr">
        <is>
          <t>Hardware config</t>
        </is>
      </c>
      <c r="C17" s="9" t="inlineStr">
        <is>
          <t>Chipset, cooling method, rack density, heat capture</t>
        </is>
      </c>
      <c r="D17" s="9" t="n"/>
    </row>
    <row r="18" ht="16" customHeight="1">
      <c r="A18" s="9" t="inlineStr">
        <is>
          <t>1. Module Criteria</t>
        </is>
      </c>
      <c r="B18" s="9" t="inlineStr">
        <is>
          <t>Module specs</t>
        </is>
      </c>
      <c r="C18" s="21" t="inlineStr">
        <is>
          <t>Heat pump config, thermal output, heat pricing</t>
        </is>
      </c>
      <c r="D18" s="9" t="n"/>
    </row>
    <row r="19">
      <c r="A19" s="9" t="inlineStr">
        <is>
          <t>2. Module Capex</t>
        </is>
      </c>
      <c r="B19" s="9" t="inlineStr">
        <is>
          <t>Module capital cost</t>
        </is>
      </c>
      <c r="C19" s="9" t="inlineStr">
        <is>
          <t>Dynamic from Rack Profile - enclosure, cooling, power, thermal, monitoring</t>
        </is>
      </c>
      <c r="D19" s="9" t="n"/>
    </row>
    <row r="20">
      <c r="A20" s="9" t="inlineStr">
        <is>
          <t>3. Module Opex</t>
        </is>
      </c>
      <c r="B20" s="9" t="inlineStr">
        <is>
          <t>Module operating cost</t>
        </is>
      </c>
      <c r="C20" s="9" t="inlineStr">
        <is>
          <t>Electricity, maintenance, insurance</t>
        </is>
      </c>
      <c r="D20" s="9" t="n"/>
    </row>
    <row r="21">
      <c r="A21" s="9" t="inlineStr">
        <is>
          <t>4. Module Flow</t>
        </is>
      </c>
      <c r="B21" s="9" t="inlineStr">
        <is>
          <t>Module hydraulics</t>
        </is>
      </c>
      <c r="C21" s="9" t="inlineStr">
        <is>
          <t>Flow rates, pipe sizing</t>
        </is>
      </c>
      <c r="D21" s="9" t="n"/>
    </row>
    <row r="22">
      <c r="A22" s="9" t="inlineStr">
        <is>
          <t>5. Buyer Profile</t>
        </is>
      </c>
      <c r="B22" s="9" t="inlineStr">
        <is>
          <t>Customer matching</t>
        </is>
      </c>
      <c r="C22" s="9" t="inlineStr">
        <is>
          <t>Process selection, modules required, heat balance, rejection sizing</t>
        </is>
      </c>
      <c r="D22" s="9" t="n"/>
      <c r="E22" s="4" t="n"/>
    </row>
    <row r="23">
      <c r="A23" s="9" t="inlineStr">
        <is>
          <t>6. System Capex</t>
        </is>
      </c>
      <c r="B23" s="9" t="inlineStr">
        <is>
          <t>System capital</t>
        </is>
      </c>
      <c r="C23" s="9" t="inlineStr">
        <is>
          <t>Total investment including rejection equipment</t>
        </is>
      </c>
      <c r="D23" s="9" t="n"/>
    </row>
    <row r="24">
      <c r="A24" s="9" t="inlineStr">
        <is>
          <t>7. System Opex</t>
        </is>
      </c>
      <c r="B24" s="9" t="inlineStr">
        <is>
          <t>System operating cost</t>
        </is>
      </c>
      <c r="C24" s="9" t="inlineStr">
        <is>
          <t>Including rejection running costs</t>
        </is>
      </c>
      <c r="D24" s="9" t="n"/>
    </row>
    <row r="25">
      <c r="A25" s="9" t="inlineStr">
        <is>
          <t>8. System Flow</t>
        </is>
      </c>
      <c r="B25" s="9" t="inlineStr">
        <is>
          <t>System hydraulics</t>
        </is>
      </c>
      <c r="C25" s="9" t="inlineStr">
        <is>
          <t>Supply vs demand, utilisation, constraints</t>
        </is>
      </c>
      <c r="D25" s="9" t="n"/>
    </row>
    <row r="26">
      <c r="A26" s="9" t="inlineStr">
        <is>
          <t>9. System P&amp;L</t>
        </is>
      </c>
      <c r="B26" s="9" t="inlineStr">
        <is>
          <t>Profit &amp; loss</t>
        </is>
      </c>
      <c r="C26" s="9" t="inlineStr">
        <is>
          <t>Revenue (compute + heat), costs, margins, payback</t>
        </is>
      </c>
      <c r="D26" s="9" t="n"/>
    </row>
    <row r="27">
      <c r="A27" s="9" t="inlineStr">
        <is>
          <t>11. Reference Data</t>
        </is>
      </c>
      <c r="B27" s="9" t="inlineStr">
        <is>
          <t>Lookup tables</t>
        </is>
      </c>
      <c r="C27" s="9" t="inlineStr">
        <is>
          <t>Hardware costs, chipset specs, rejection rates, process ΔT</t>
        </is>
      </c>
      <c r="D27" s="9" t="n"/>
    </row>
    <row r="28">
      <c r="A28" s="9" t="inlineStr">
        <is>
          <t>12. Process Library</t>
        </is>
      </c>
      <c r="B28" s="9" t="inlineStr">
        <is>
          <t>Process database</t>
        </is>
      </c>
      <c r="C28" s="9" t="inlineStr">
        <is>
          <t>42 industrial heat processes with source citations</t>
        </is>
      </c>
      <c r="D28" s="9" t="n"/>
    </row>
    <row r="29">
      <c r="A29" s="9" t="n"/>
      <c r="B29" s="9" t="n"/>
      <c r="C29" s="9" t="n"/>
      <c r="D29" s="9" t="n"/>
    </row>
    <row r="30">
      <c r="A30" s="41" t="inlineStr">
        <is>
          <t>KEY CONCEPTS</t>
        </is>
      </c>
      <c r="B30" s="17" t="n"/>
      <c r="C30" s="17" t="n"/>
      <c r="D30" s="17" t="n"/>
      <c r="E30" s="19" t="n"/>
    </row>
    <row r="31">
      <c r="A31" s="9" t="n"/>
      <c r="B31" s="9" t="n"/>
      <c r="C31" s="9" t="n"/>
      <c r="D31" s="9" t="n"/>
      <c r="E31" s="4" t="n"/>
    </row>
    <row r="32">
      <c r="A32" s="4" t="inlineStr">
        <is>
          <t>BYOGPU Model</t>
        </is>
      </c>
      <c r="B32" s="9" t="inlineStr">
        <is>
          <t>Customers bring their own GPUs - capex covers infrastructure only, not compute hardware</t>
        </is>
      </c>
      <c r="C32" s="9" t="n"/>
      <c r="D32" s="9" t="n"/>
    </row>
    <row r="33">
      <c r="A33" s="4" t="inlineStr">
        <is>
          <t>Thermal vs Flow</t>
        </is>
      </c>
      <c r="B33" s="9" t="inlineStr">
        <is>
          <t>Low ΔT processes become flow-constrained, needing more modules than thermal demand alone</t>
        </is>
      </c>
      <c r="C33" s="9" t="n"/>
      <c r="D33" s="9" t="n"/>
    </row>
    <row r="34">
      <c r="A34" s="4" t="inlineStr">
        <is>
          <t>Heat Rejection</t>
        </is>
      </c>
      <c r="B34" s="9" t="inlineStr">
        <is>
          <t>Equipment sized for 100% rejection (buyer offline); opex based on actual excess</t>
        </is>
      </c>
      <c r="C34" s="9" t="n"/>
      <c r="D34" s="9" t="n"/>
    </row>
    <row r="35">
      <c r="A35" s="4" t="inlineStr">
        <is>
          <t>Cooling Premium</t>
        </is>
      </c>
      <c r="B35" s="9" t="inlineStr">
        <is>
          <t>DTC +15%, Single-phase immersion +25%, Two-phase +40% vs air-cooled</t>
        </is>
      </c>
      <c r="C35" s="9" t="n"/>
      <c r="D35" s="9" t="n"/>
    </row>
    <row r="36">
      <c r="A36" s="4" t="inlineStr">
        <is>
          <t>Dynamic Capex</t>
        </is>
      </c>
      <c r="B36" s="9" t="inlineStr">
        <is>
          <t>Module costs auto-calculate from Rack Profile - change chipset/cooling, capex updates</t>
        </is>
      </c>
      <c r="C36" s="9" t="n"/>
      <c r="D36" s="9" t="n"/>
    </row>
    <row r="37">
      <c r="A37" s="9" t="n"/>
      <c r="B37" s="9" t="n"/>
      <c r="C37" s="9" t="n"/>
      <c r="D37" s="9" t="n"/>
    </row>
    <row r="38">
      <c r="A38" s="41" t="inlineStr">
        <is>
          <t>DATA FLOW</t>
        </is>
      </c>
      <c r="B38" s="17" t="n"/>
      <c r="C38" s="17" t="n"/>
      <c r="D38" s="17" t="n"/>
      <c r="E38" s="17" t="n"/>
    </row>
    <row r="39">
      <c r="A39" s="9" t="n"/>
      <c r="B39" s="9" t="n"/>
      <c r="C39" s="9" t="n"/>
      <c r="D39" s="9" t="n"/>
    </row>
    <row r="40">
      <c r="A40" s="9" t="inlineStr">
        <is>
          <t>Rack Profile → Module Criteria → Module Capex/Opex → Buyer Profile → System Capex/Opex/P&amp;L</t>
        </is>
      </c>
      <c r="B40" s="9" t="n"/>
      <c r="C40" s="9" t="n"/>
      <c r="D40" s="9" t="n"/>
    </row>
    <row r="41">
      <c r="A41" s="9" t="n"/>
      <c r="B41" s="9" t="n"/>
      <c r="C41" s="9" t="n"/>
      <c r="D41" s="9" t="n"/>
    </row>
    <row r="42">
      <c r="A42" s="41" t="inlineStr">
        <is>
          <t>INPUT CONVENTIONS</t>
        </is>
      </c>
      <c r="B42" s="17" t="n"/>
      <c r="C42" s="17" t="n"/>
      <c r="D42" s="17" t="n"/>
      <c r="E42" s="19" t="n"/>
    </row>
    <row r="43">
      <c r="A43" s="9" t="n"/>
      <c r="B43" s="9" t="n"/>
      <c r="C43" s="9" t="n"/>
      <c r="D43" s="9" t="n"/>
    </row>
    <row r="44">
      <c r="A44" s="9" t="inlineStr">
        <is>
          <t>Yellow cells</t>
        </is>
      </c>
      <c r="B44" s="24" t="inlineStr">
        <is>
          <t>Example</t>
        </is>
      </c>
      <c r="C44" s="9" t="inlineStr">
        <is>
          <t>Adjustable inputs - safe to modify</t>
        </is>
      </c>
      <c r="D44" s="9" t="n"/>
    </row>
    <row r="45">
      <c r="A45" s="9" t="inlineStr">
        <is>
          <t>Blue headers</t>
        </is>
      </c>
      <c r="B45" s="17" t="inlineStr">
        <is>
          <t>Example</t>
        </is>
      </c>
      <c r="C45" s="9" t="inlineStr">
        <is>
          <t>Section headers - do not edit</t>
        </is>
      </c>
      <c r="D45" s="9" t="n"/>
    </row>
    <row r="46">
      <c r="A46" s="9" t="inlineStr">
        <is>
          <t>White cells</t>
        </is>
      </c>
      <c r="B46" s="9" t="inlineStr">
        <is>
          <t>Example</t>
        </is>
      </c>
      <c r="C46" s="9" t="inlineStr">
        <is>
          <t>Calculated values - do not edit</t>
        </is>
      </c>
      <c r="D46" s="9" t="n"/>
    </row>
    <row r="47">
      <c r="A47" s="9" t="n"/>
      <c r="B47" s="10" t="n"/>
      <c r="C47" s="9" t="n"/>
      <c r="D47" s="9" t="n"/>
    </row>
    <row r="48">
      <c r="A48" s="41" t="inlineStr">
        <is>
          <t>KEY INPUTS QUICK REFERENCE</t>
        </is>
      </c>
      <c r="B48" s="18" t="n"/>
      <c r="C48" s="17" t="n"/>
      <c r="D48" s="17" t="n"/>
      <c r="E48" s="19" t="n"/>
    </row>
    <row r="49">
      <c r="A49" s="9" t="n"/>
      <c r="B49" s="9" t="n"/>
      <c r="C49" s="9" t="n"/>
      <c r="D49" s="9" t="n"/>
    </row>
    <row r="50">
      <c r="A50" s="4" t="inlineStr">
        <is>
          <t>Location</t>
        </is>
      </c>
      <c r="B50" s="4" t="inlineStr">
        <is>
          <t>Input</t>
        </is>
      </c>
      <c r="C50" s="4" t="inlineStr">
        <is>
          <t>Options</t>
        </is>
      </c>
      <c r="D50" s="9" t="n"/>
    </row>
    <row r="51">
      <c r="A51" s="9" t="inlineStr">
        <is>
          <t>Rack Profile B6</t>
        </is>
      </c>
      <c r="B51" s="9" t="inlineStr">
        <is>
          <t>Chipset</t>
        </is>
      </c>
      <c r="C51" s="9" t="inlineStr">
        <is>
          <t>NVIDIA H100/H200/B200, AMD MI300X, Intel Gaudi 3</t>
        </is>
      </c>
      <c r="D51" s="9" t="n"/>
    </row>
    <row r="52">
      <c r="A52" s="9" t="inlineStr">
        <is>
          <t>Rack Profile B17</t>
        </is>
      </c>
      <c r="B52" s="9" t="inlineStr">
        <is>
          <t>Cooling method</t>
        </is>
      </c>
      <c r="C52" s="9" t="inlineStr">
        <is>
          <t>DTC, Single-Phase Immersion, Two-Phase Immersion, RDHX</t>
        </is>
      </c>
      <c r="D52" s="9" t="n"/>
      <c r="E52" s="4" t="n"/>
    </row>
    <row r="53">
      <c r="A53" s="9" t="inlineStr">
        <is>
          <t>Rack Profile B36</t>
        </is>
      </c>
      <c r="B53" s="9" t="inlineStr">
        <is>
          <t>Module size</t>
        </is>
      </c>
      <c r="C53" s="9" t="inlineStr">
        <is>
          <t>IT capacity target in kW (default 250)</t>
        </is>
      </c>
      <c r="D53" s="9" t="n"/>
    </row>
    <row r="54">
      <c r="A54" s="9" t="inlineStr">
        <is>
          <t>Module Criteria B15</t>
        </is>
      </c>
      <c r="B54" s="9" t="inlineStr">
        <is>
          <t>Heat pump</t>
        </is>
      </c>
      <c r="C54" s="9" t="inlineStr">
        <is>
          <t>1 = enabled, 0 = disabled</t>
        </is>
      </c>
      <c r="D54" s="9" t="n"/>
    </row>
    <row r="55">
      <c r="A55" s="9" t="inlineStr">
        <is>
          <t>Module Criteria B29</t>
        </is>
      </c>
      <c r="B55" s="9" t="inlineStr">
        <is>
          <t>Heat price</t>
        </is>
      </c>
      <c r="C55" s="9" t="inlineStr">
        <is>
          <t>£/MWh for heat sales</t>
        </is>
      </c>
      <c r="D55" s="9" t="n"/>
    </row>
    <row r="56">
      <c r="A56" s="9" t="inlineStr">
        <is>
          <t>Buyer Profile B11</t>
        </is>
      </c>
      <c r="B56" s="9" t="inlineStr">
        <is>
          <t>Process</t>
        </is>
      </c>
      <c r="C56" s="9" t="inlineStr">
        <is>
          <t>Select from dropdown (42 options)</t>
        </is>
      </c>
      <c r="D56" s="9" t="n"/>
    </row>
    <row r="57">
      <c r="A57" s="9" t="inlineStr">
        <is>
          <t>Reference Data B71+</t>
        </is>
      </c>
      <c r="B57" s="9" t="inlineStr">
        <is>
          <t>Hardware costs</t>
        </is>
      </c>
      <c r="C57" s="9" t="inlineStr">
        <is>
          <t>All yellow cells - adjust to your pricing</t>
        </is>
      </c>
      <c r="D57" s="9" t="n"/>
    </row>
    <row r="58">
      <c r="A58" s="9" t="n"/>
      <c r="B58" s="9" t="n"/>
      <c r="C58" s="9" t="n"/>
      <c r="D58" s="9" t="n"/>
    </row>
    <row r="59">
      <c r="A59" s="9" t="n"/>
      <c r="B59" s="9" t="n"/>
      <c r="C59" s="9" t="n"/>
      <c r="D59" s="9" t="n"/>
    </row>
    <row r="60">
      <c r="A60" s="9" t="n"/>
      <c r="B60" s="9" t="n"/>
      <c r="C60" s="9" t="n"/>
      <c r="D60" s="9" t="n"/>
    </row>
    <row r="61">
      <c r="A61" s="9" t="n"/>
      <c r="B61" s="9" t="n"/>
      <c r="C61" s="9" t="n"/>
      <c r="D61" s="9" t="n"/>
    </row>
    <row r="62">
      <c r="A62" s="9" t="n"/>
      <c r="B62" s="9" t="n"/>
      <c r="C62" s="9" t="n"/>
      <c r="D62" s="9" t="n"/>
    </row>
    <row r="63">
      <c r="A63" s="9" t="n"/>
      <c r="B63" s="9" t="n"/>
      <c r="C63" s="9" t="n"/>
      <c r="D63" s="9" t="n"/>
    </row>
    <row r="64">
      <c r="A64" s="9" t="n"/>
      <c r="B64" s="9" t="n"/>
      <c r="C64" s="9" t="n"/>
      <c r="D64" s="9" t="n"/>
    </row>
    <row r="65">
      <c r="A65" s="9" t="n"/>
      <c r="B65" s="9" t="n"/>
      <c r="C65" s="9" t="n"/>
      <c r="D65" s="9" t="n"/>
    </row>
    <row r="66">
      <c r="A66" s="9" t="n"/>
      <c r="B66" s="9" t="n"/>
      <c r="C66" s="9" t="n"/>
      <c r="D66" s="9" t="n"/>
    </row>
    <row r="67">
      <c r="A67" s="9" t="n"/>
      <c r="B67" s="9" t="n"/>
      <c r="C67" s="9" t="n"/>
      <c r="D67" s="9" t="n"/>
    </row>
    <row r="68">
      <c r="A68" s="9" t="n"/>
      <c r="B68" s="9" t="n"/>
      <c r="C68" s="9" t="n"/>
      <c r="D68" s="9" t="n"/>
    </row>
    <row r="69">
      <c r="A69" s="9" t="n"/>
      <c r="B69" s="9" t="n"/>
      <c r="C69" s="9" t="n"/>
      <c r="D69" s="9" t="n"/>
    </row>
    <row r="70">
      <c r="A70" s="9" t="n"/>
      <c r="B70" s="9" t="n"/>
      <c r="C70" s="9" t="n"/>
      <c r="D70" s="9" t="n"/>
    </row>
    <row r="71">
      <c r="A71" s="9" t="n"/>
      <c r="B71" s="9" t="n"/>
      <c r="C71" s="9" t="n"/>
      <c r="D71" s="9" t="n"/>
    </row>
    <row r="72">
      <c r="A72" s="9" t="n"/>
      <c r="B72" s="9" t="n"/>
      <c r="C72" s="9" t="n"/>
      <c r="D72" s="9" t="n"/>
    </row>
    <row r="73">
      <c r="A73" s="9" t="n"/>
      <c r="B73" s="9" t="n"/>
      <c r="C73" s="9" t="n"/>
      <c r="D73" s="9" t="n"/>
    </row>
    <row r="74">
      <c r="A74" s="9" t="n"/>
      <c r="B74" s="9" t="n"/>
      <c r="C74" s="9" t="n"/>
      <c r="D74" s="9" t="n"/>
    </row>
    <row r="75">
      <c r="A75" s="9" t="n"/>
      <c r="B75" s="9" t="n"/>
      <c r="C75" s="9" t="n"/>
      <c r="D75" s="9" t="n"/>
    </row>
    <row r="76">
      <c r="A76" s="9" t="n"/>
      <c r="B76" s="9" t="n"/>
      <c r="C76" s="9" t="n"/>
      <c r="D76" s="9" t="n"/>
    </row>
    <row r="77">
      <c r="A77" s="9" t="n"/>
      <c r="B77" s="9" t="n"/>
      <c r="C77" s="9" t="n"/>
      <c r="D77" s="9" t="n"/>
    </row>
    <row r="78">
      <c r="A78" s="9" t="n"/>
      <c r="B78" s="9" t="n"/>
      <c r="C78" s="9" t="n"/>
      <c r="D78" s="9" t="n"/>
    </row>
    <row r="79">
      <c r="A79" s="9" t="n"/>
      <c r="B79" s="9" t="n"/>
      <c r="C79" s="9" t="n"/>
      <c r="D79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55" customWidth="1" min="2" max="2"/>
    <col width="45" customWidth="1" min="3" max="3"/>
    <col width="3" customWidth="1" min="4" max="4"/>
  </cols>
  <sheetData>
    <row r="1" ht="20" customHeight="1">
      <c r="A1" s="65" t="inlineStr">
        <is>
          <t>AGENT CONTEXT</t>
        </is>
      </c>
      <c r="B1" s="66" t="n"/>
      <c r="C1" s="66" t="n"/>
      <c r="D1" s="66" t="n"/>
    </row>
    <row r="2" ht="15" customHeight="1">
      <c r="A2" s="67" t="inlineStr">
        <is>
          <t>Context and guidelines for AI agents working on this model</t>
        </is>
      </c>
      <c r="B2" s="66" t="n"/>
      <c r="C2" s="66" t="n"/>
      <c r="D2" s="66" t="n"/>
    </row>
    <row r="3" ht="8" customHeight="1">
      <c r="A3" s="66" t="n"/>
      <c r="B3" s="66" t="n"/>
      <c r="C3" s="66" t="n"/>
      <c r="D3" s="66" t="n"/>
    </row>
    <row r="4" ht="18" customHeight="1">
      <c r="A4" s="68" t="inlineStr">
        <is>
          <t>BUSINESS CONTEXT</t>
        </is>
      </c>
      <c r="B4" s="68" t="n"/>
      <c r="C4" s="68" t="n"/>
      <c r="D4" s="66" t="n"/>
    </row>
    <row r="5" ht="8" customHeight="1">
      <c r="A5" s="66" t="n"/>
      <c r="B5" s="66" t="n"/>
      <c r="C5" s="66" t="n"/>
      <c r="D5" s="66" t="n"/>
    </row>
    <row r="6" ht="26" customHeight="1">
      <c r="A6" s="69" t="inlineStr">
        <is>
          <t>Business Model</t>
        </is>
      </c>
      <c r="B6" s="70" t="inlineStr">
        <is>
          <t>TRIBE operates 'digital boilers' - modular data centres co-located on industrial sites that capture waste heat from GPU compute and sell it to industrial partners.</t>
        </is>
      </c>
      <c r="C6" s="70" t="n"/>
      <c r="D6" s="66" t="n"/>
    </row>
    <row r="7" ht="26" customHeight="1">
      <c r="A7" s="69" t="inlineStr">
        <is>
          <t>BYOGPU</t>
        </is>
      </c>
      <c r="B7" s="70" t="inlineStr">
        <is>
          <t>Customers bring their own GPUs - TRIBE provides infrastructure only. Capex excludes compute hardware costs.</t>
        </is>
      </c>
      <c r="C7" s="70" t="n"/>
      <c r="D7" s="66" t="n"/>
    </row>
    <row r="8" ht="26" customHeight="1">
      <c r="A8" s="69" t="inlineStr">
        <is>
          <t>Heat Capture</t>
        </is>
      </c>
      <c r="B8" s="70" t="inlineStr">
        <is>
          <t>Liquid cooling (DTC or immersion) captures 75-98% of server waste heat at 45-57°C. Heat pumps lift this to 70-90°C for industrial use.</t>
        </is>
      </c>
      <c r="C8" s="70" t="n"/>
      <c r="D8" s="66" t="n"/>
    </row>
    <row r="9">
      <c r="A9" s="69" t="inlineStr">
        <is>
          <t>Revenue Streams</t>
        </is>
      </c>
      <c r="B9" s="70" t="inlineStr">
        <is>
          <t>1) Compute hosting fees (£/kW/month), 2) Heat sales to industrial buyer (£/MWh)</t>
        </is>
      </c>
      <c r="C9" s="70" t="n"/>
      <c r="D9" s="66" t="n"/>
    </row>
    <row r="10" ht="26" customHeight="1">
      <c r="A10" s="69" t="inlineStr">
        <is>
          <t>Target Customers</t>
        </is>
      </c>
      <c r="B10" s="70" t="inlineStr">
        <is>
          <t>Industrial processes requiring low-grade heat: pasteurisation, CIP systems, district heating, commercial laundry, swimming pools, HVAC</t>
        </is>
      </c>
      <c r="C10" s="70" t="n"/>
      <c r="D10" s="66" t="n"/>
    </row>
    <row r="11" ht="8" customHeight="1">
      <c r="A11" s="66" t="n"/>
      <c r="B11" s="66" t="n"/>
      <c r="C11" s="66" t="n"/>
      <c r="D11" s="66" t="n"/>
    </row>
    <row r="12" ht="18" customHeight="1">
      <c r="A12" s="68" t="inlineStr">
        <is>
          <t>MODEL ARCHITECTURE</t>
        </is>
      </c>
      <c r="B12" s="68" t="n"/>
      <c r="C12" s="68" t="n"/>
      <c r="D12" s="66" t="n"/>
    </row>
    <row r="13" ht="8" customHeight="1">
      <c r="A13" s="66" t="n"/>
      <c r="B13" s="66" t="n"/>
      <c r="C13" s="66" t="n"/>
      <c r="D13" s="66" t="n"/>
    </row>
    <row r="14" ht="26" customHeight="1">
      <c r="A14" s="69" t="inlineStr">
        <is>
          <t>Data Flow</t>
        </is>
      </c>
      <c r="B14" s="70" t="inlineStr">
        <is>
          <t>Rack Profile → Module Criteria → Module Capex/Opex/Flow → Buyer Profile → System Capex/Opex/Flow/P&amp;L</t>
        </is>
      </c>
      <c r="C14" s="70" t="n"/>
      <c r="D14" s="66" t="n"/>
    </row>
    <row r="15" ht="26" customHeight="1">
      <c r="A15" s="69" t="inlineStr">
        <is>
          <t>Rack Profile</t>
        </is>
      </c>
      <c r="B15" s="70" t="inlineStr">
        <is>
          <t>INPUTS: Chipset (dropdown B6), Cooling method (dropdown B17), Module IT target (B36). OUTPUTS: Rack density, heat capture rate, capex premium.</t>
        </is>
      </c>
      <c r="C15" s="70" t="n"/>
      <c r="D15" s="66" t="n"/>
    </row>
    <row r="16" ht="26" customHeight="1">
      <c r="A16" s="69" t="inlineStr">
        <is>
          <t>Module Criteria</t>
        </is>
      </c>
      <c r="B16" s="70" t="inlineStr">
        <is>
          <t>INPUTS: Heat pump toggle (B15), HP output temp (B16), Heat pricing (B27-B29). OUTPUTS: Per-module thermal output, COP.</t>
        </is>
      </c>
      <c r="C16" s="70" t="n"/>
      <c r="D16" s="66" t="n"/>
    </row>
    <row r="17" ht="26" customHeight="1">
      <c r="A17" s="69" t="inlineStr">
        <is>
          <t>Module Capex</t>
        </is>
      </c>
      <c r="B17" s="70" t="inlineStr">
        <is>
          <t>DYNAMIC CALCULATION from Rack Profile. References costs in '11. Reference Data' rows 71-105. Conditional DTC vs Immersion blocks.</t>
        </is>
      </c>
      <c r="C17" s="70" t="n"/>
      <c r="D17" s="66" t="n"/>
    </row>
    <row r="18" ht="26" customHeight="1">
      <c r="A18" s="69" t="inlineStr">
        <is>
          <t>Buyer Profile</t>
        </is>
      </c>
      <c r="B18" s="70" t="inlineStr">
        <is>
          <t>INPUT: Process selection dropdown (B11) from Process Library. OUTPUTS: Modules required, binding constraint (thermal vs flow), heat rejection sizing.</t>
        </is>
      </c>
      <c r="C18" s="70" t="n"/>
      <c r="D18" s="66" t="n"/>
    </row>
    <row r="19" ht="26" customHeight="1">
      <c r="A19" s="69" t="inlineStr">
        <is>
          <t>System Sheets</t>
        </is>
      </c>
      <c r="B19" s="70" t="inlineStr">
        <is>
          <t>Aggregate module-level calculations × number of modules. Add shared infrastructure, rejection equipment, integration costs.</t>
        </is>
      </c>
      <c r="C19" s="70" t="n"/>
      <c r="D19" s="66" t="n"/>
    </row>
    <row r="20" ht="26" customHeight="1">
      <c r="A20" s="69" t="inlineStr">
        <is>
          <t>Reference Data</t>
        </is>
      </c>
      <c r="B20" s="70" t="inlineStr">
        <is>
          <t>LOOKUP TABLES: Rejection infrastructure (rows 9-16), Cooling characteristics (rows 22-27), Chipsets (rows 33-38), Hardware capex (rows 71-105).</t>
        </is>
      </c>
      <c r="C20" s="70" t="n"/>
      <c r="D20" s="66" t="n"/>
    </row>
    <row r="21" ht="26" customHeight="1">
      <c r="A21" s="69" t="inlineStr">
        <is>
          <t>Process Library</t>
        </is>
      </c>
      <c r="B21" s="70" t="inlineStr">
        <is>
          <t>DATABASE of 42 industrial processes with temp, thermal load, operating hours, ΔT, source citations. Feeds Buyer Profile dropdown.</t>
        </is>
      </c>
      <c r="C21" s="70" t="n"/>
      <c r="D21" s="66" t="n"/>
    </row>
    <row r="22" ht="8" customHeight="1">
      <c r="A22" s="66" t="n"/>
      <c r="B22" s="66" t="n"/>
      <c r="C22" s="66" t="n"/>
      <c r="D22" s="66" t="n"/>
    </row>
    <row r="23" ht="18" customHeight="1">
      <c r="A23" s="68" t="inlineStr">
        <is>
          <t>KEY TECHNICAL CONCEPTS</t>
        </is>
      </c>
      <c r="B23" s="68" t="n"/>
      <c r="C23" s="68" t="n"/>
      <c r="D23" s="66" t="n"/>
    </row>
    <row r="24" ht="8" customHeight="1">
      <c r="A24" s="66" t="n"/>
      <c r="B24" s="66" t="n"/>
      <c r="C24" s="66" t="n"/>
      <c r="D24" s="66" t="n"/>
    </row>
    <row r="25" ht="39" customHeight="1">
      <c r="A25" s="69" t="inlineStr">
        <is>
          <t>Thermal vs Flow Constraint</t>
        </is>
      </c>
      <c r="B25" s="70" t="inlineStr">
        <is>
          <t>Low ΔT processes (e.g. pasteurisation, 5°C) become FLOW-constrained - need more modules than thermal demand alone. High ΔT processes (e.g. district heating, 30°C) are THERMAL-constrained.</t>
        </is>
      </c>
      <c r="C25" s="70" t="n"/>
      <c r="D25" s="66" t="n"/>
    </row>
    <row r="26" ht="26" customHeight="1">
      <c r="A26" s="69" t="inlineStr">
        <is>
          <t>Heat Pump Thermodynamics</t>
        </is>
      </c>
      <c r="B26" s="70" t="inlineStr">
        <is>
          <t>Q_hot = Q_cold × COP/(COP-1). Electrical input = Q_hot/COP. COP decreases with higher temperature lift (source→sink).</t>
        </is>
      </c>
      <c r="C26" s="70" t="n"/>
      <c r="D26" s="66" t="n"/>
    </row>
    <row r="27" ht="26" customHeight="1">
      <c r="A27" s="69" t="inlineStr">
        <is>
          <t>Heat Rejection Sizing</t>
        </is>
      </c>
      <c r="B27" s="70" t="inlineStr">
        <is>
          <t>CAPEX sized for 100% rejection (worst case - buyer goes offline). OPEX based on ACTUAL excess heat during normal operation.</t>
        </is>
      </c>
      <c r="C27" s="70" t="n"/>
      <c r="D27" s="66" t="n"/>
    </row>
    <row r="28" ht="26" customHeight="1">
      <c r="A28" s="69" t="inlineStr">
        <is>
          <t>Cooling Method Trade-offs</t>
        </is>
      </c>
      <c r="B28" s="70" t="inlineStr">
        <is>
          <t>DTC: 75% capture, 57.5°C, +15% capex, larger footprint. Immersion: 95-98% capture, 50-55°C, +25-40% capex, denser packing.</t>
        </is>
      </c>
      <c r="C28" s="70" t="n"/>
      <c r="D28" s="66" t="n"/>
    </row>
    <row r="29" ht="26" customHeight="1">
      <c r="A29" s="69" t="inlineStr">
        <is>
          <t>Rack Thermal Limits</t>
        </is>
      </c>
      <c r="B29" s="70" t="inlineStr">
        <is>
          <t>DTC: 80kW/rack, Single-phase immersion: 100kW/rack, Two-phase: 120kW/rack. Determines GPU density and module footprint.</t>
        </is>
      </c>
      <c r="C29" s="70" t="n"/>
      <c r="D29" s="66" t="n"/>
    </row>
    <row r="30" ht="8" customHeight="1">
      <c r="A30" s="66" t="n"/>
      <c r="B30" s="66" t="n"/>
      <c r="C30" s="66" t="n"/>
      <c r="D30" s="66" t="n"/>
    </row>
    <row r="31" ht="18" customHeight="1">
      <c r="A31" s="68" t="inlineStr">
        <is>
          <t>FORMULA CONVENTIONS</t>
        </is>
      </c>
      <c r="B31" s="68" t="n"/>
      <c r="C31" s="68" t="n"/>
      <c r="D31" s="66" t="n"/>
    </row>
    <row r="32" ht="8" customHeight="1">
      <c r="A32" s="66" t="n"/>
      <c r="B32" s="66" t="n"/>
      <c r="C32" s="66" t="n"/>
      <c r="D32" s="66" t="n"/>
    </row>
    <row r="33">
      <c r="A33" s="69" t="inlineStr">
        <is>
          <t>Cross-sheet references</t>
        </is>
      </c>
      <c r="B33" s="70" t="inlineStr">
        <is>
          <t>Use full sheet names in quotes, e.g. ='0. Rack Profile'!B37</t>
        </is>
      </c>
      <c r="C33" s="70" t="n"/>
      <c r="D33" s="66" t="n"/>
    </row>
    <row r="34">
      <c r="A34" s="69" t="inlineStr">
        <is>
          <t>Conditional blocks</t>
        </is>
      </c>
      <c r="B34" s="70" t="inlineStr">
        <is>
          <t>DTC vs Immersion costs use IF(B6="Direct-to-Chip (DTC)",...) pattern</t>
        </is>
      </c>
      <c r="C34" s="70" t="n"/>
      <c r="D34" s="66" t="n"/>
    </row>
    <row r="35">
      <c r="A35" s="69" t="inlineStr">
        <is>
          <t>Unit conversions</t>
        </is>
      </c>
      <c r="B35" s="70" t="inlineStr">
        <is>
          <t>kWh to MWh: divide by 1000. Annual hours: 8760. Heat: kWth (thermal kilowatts).</t>
        </is>
      </c>
      <c r="C35" s="70" t="n"/>
      <c r="D35" s="66" t="n"/>
    </row>
    <row r="36">
      <c r="A36" s="69" t="inlineStr">
        <is>
          <t>Currency</t>
        </is>
      </c>
      <c r="B36" s="70" t="inlineStr">
        <is>
          <t>All values in GBP (£). Format: £#,##0 for whole numbers, £#,##0.00 for decimals.</t>
        </is>
      </c>
      <c r="C36" s="70" t="n"/>
      <c r="D36" s="66" t="n"/>
    </row>
    <row r="37">
      <c r="A37" s="69" t="inlineStr">
        <is>
          <t>Percentages</t>
        </is>
      </c>
      <c r="B37" s="70" t="inlineStr">
        <is>
          <t>Store as decimals (0.15 not 15%), format as 0.0% for display.</t>
        </is>
      </c>
      <c r="C37" s="70" t="n"/>
      <c r="D37" s="66" t="n"/>
    </row>
    <row r="38" ht="8" customHeight="1">
      <c r="A38" s="66" t="n"/>
      <c r="B38" s="66" t="n"/>
      <c r="C38" s="66" t="n"/>
      <c r="D38" s="66" t="n"/>
    </row>
    <row r="39" ht="18" customHeight="1">
      <c r="A39" s="68" t="inlineStr">
        <is>
          <t>KEY CELL REFERENCES</t>
        </is>
      </c>
      <c r="B39" s="68" t="n"/>
      <c r="C39" s="68" t="n"/>
      <c r="D39" s="66" t="n"/>
    </row>
    <row r="40" ht="8" customHeight="1">
      <c r="A40" s="66" t="n"/>
      <c r="B40" s="66" t="n"/>
      <c r="C40" s="66" t="n"/>
      <c r="D40" s="66" t="n"/>
    </row>
    <row r="41" ht="16" customHeight="1">
      <c r="A41" s="71" t="inlineStr">
        <is>
          <t>Cell</t>
        </is>
      </c>
      <c r="B41" s="71" t="inlineStr">
        <is>
          <t>Description</t>
        </is>
      </c>
      <c r="C41" s="71" t="inlineStr">
        <is>
          <t>Notes</t>
        </is>
      </c>
      <c r="D41" s="66" t="n"/>
    </row>
    <row r="42">
      <c r="A42" s="69" t="inlineStr">
        <is>
          <t>0. Rack Profile!B6</t>
        </is>
      </c>
      <c r="B42" s="70" t="inlineStr">
        <is>
          <t>Chipset selection (dropdown)</t>
        </is>
      </c>
      <c r="C42" s="70" t="inlineStr">
        <is>
          <t>Drives TDP, density, cost assumptions</t>
        </is>
      </c>
      <c r="D42" s="66" t="n"/>
    </row>
    <row r="43">
      <c r="A43" s="69" t="inlineStr">
        <is>
          <t>0. Rack Profile!B17</t>
        </is>
      </c>
      <c r="B43" s="70" t="inlineStr">
        <is>
          <t>Cooling method selection (dropdown)</t>
        </is>
      </c>
      <c r="C43" s="70" t="inlineStr">
        <is>
          <t>Drives heat capture rate, PUE, capex, source ΔT</t>
        </is>
      </c>
      <c r="D43" s="66" t="n"/>
    </row>
    <row r="44">
      <c r="A44" s="69" t="inlineStr">
        <is>
          <t>0. Rack Profile!B23</t>
        </is>
      </c>
      <c r="B44" s="70" t="inlineStr">
        <is>
          <t>PUE by cooling method</t>
        </is>
      </c>
      <c r="C44" s="70" t="inlineStr">
        <is>
          <t>From Reference Data lookup. Drives infrastructure power.</t>
        </is>
      </c>
      <c r="D44" s="66" t="n"/>
    </row>
    <row r="45">
      <c r="A45" s="69" t="inlineStr">
        <is>
          <t>0. Rack Profile!B37</t>
        </is>
      </c>
      <c r="B45" s="70" t="inlineStr">
        <is>
          <t>Racks per module</t>
        </is>
      </c>
      <c r="C45" s="70" t="inlineStr">
        <is>
          <t>Calculated from space constraints</t>
        </is>
      </c>
      <c r="D45" s="66" t="n"/>
    </row>
    <row r="46">
      <c r="A46" s="69" t="inlineStr">
        <is>
          <t>0. Rack Profile!B40</t>
        </is>
      </c>
      <c r="B46" s="70" t="inlineStr">
        <is>
          <t>Module IT capacity (kW)</t>
        </is>
      </c>
      <c r="C46" s="70" t="inlineStr">
        <is>
          <t>TDP × racks per module</t>
        </is>
      </c>
      <c r="D46" s="66" t="n"/>
    </row>
    <row r="47">
      <c r="A47" s="69" t="inlineStr">
        <is>
          <t>0. Rack Profile!B43</t>
        </is>
      </c>
      <c r="B47" s="70" t="inlineStr">
        <is>
          <t>Captured heat (kWth)</t>
        </is>
      </c>
      <c r="C47" s="70" t="inlineStr">
        <is>
          <t>IT capacity × heat capture rate</t>
        </is>
      </c>
      <c r="D47" s="66" t="n"/>
    </row>
    <row r="48" ht="8" customHeight="1">
      <c r="A48" s="66" t="n"/>
      <c r="B48" s="66" t="n"/>
      <c r="C48" s="66" t="n"/>
      <c r="D48" s="66" t="n"/>
    </row>
    <row r="49">
      <c r="A49" s="69" t="inlineStr">
        <is>
          <t>1. Module Criteria!B15</t>
        </is>
      </c>
      <c r="B49" s="70" t="inlineStr">
        <is>
          <t>Heat pump enabled (1/0)</t>
        </is>
      </c>
      <c r="C49" s="70" t="inlineStr">
        <is>
          <t>Toggles HP capex/opex calculations</t>
        </is>
      </c>
      <c r="D49" s="66" t="n"/>
    </row>
    <row r="50">
      <c r="A50" s="69" t="inlineStr">
        <is>
          <t>1. Module Criteria!B16</t>
        </is>
      </c>
      <c r="B50" s="70" t="inlineStr">
        <is>
          <t>Heat pump output temp (°C)</t>
        </is>
      </c>
      <c r="C50" s="70" t="inlineStr">
        <is>
          <t>Input for COP calculation</t>
        </is>
      </c>
      <c r="D50" s="66" t="n"/>
    </row>
    <row r="51">
      <c r="A51" s="69" t="inlineStr">
        <is>
          <t>1. Module Criteria!B17</t>
        </is>
      </c>
      <c r="B51" s="70" t="inlineStr">
        <is>
          <t>COP (Carnot-based)</t>
        </is>
      </c>
      <c r="C51" s="70" t="inlineStr">
        <is>
          <t>0.5×(T_out+273)/ΔT lift. Dynamic by temps.</t>
        </is>
      </c>
      <c r="D51" s="66" t="n"/>
    </row>
    <row r="52">
      <c r="A52" s="69" t="inlineStr">
        <is>
          <t>1. Module Criteria!B21</t>
        </is>
      </c>
      <c r="B52" s="70" t="inlineStr">
        <is>
          <t>Module thermal output (kWth)</t>
        </is>
      </c>
      <c r="C52" s="70" t="inlineStr">
        <is>
          <t>Captured × COP/(COP-1)</t>
        </is>
      </c>
      <c r="D52" s="66" t="n"/>
    </row>
    <row r="53" ht="8" customHeight="1">
      <c r="A53" s="66" t="n"/>
      <c r="B53" s="66" t="n"/>
      <c r="C53" s="66" t="n"/>
      <c r="D53" s="66" t="n"/>
    </row>
    <row r="54">
      <c r="A54" s="69" t="inlineStr">
        <is>
          <t>4. Module Flow!B11</t>
        </is>
      </c>
      <c r="B54" s="70" t="inlineStr">
        <is>
          <t>Source loop ΔT (°C)</t>
        </is>
      </c>
      <c r="C54" s="70" t="inlineStr">
        <is>
          <t>Lookup by cooling method (3-15°C). Was hardcoded 10°C.</t>
        </is>
      </c>
      <c r="D54" s="66" t="n"/>
    </row>
    <row r="55">
      <c r="A55" s="69" t="inlineStr">
        <is>
          <t>4. Module Flow!B21</t>
        </is>
      </c>
      <c r="B55" s="70" t="inlineStr">
        <is>
          <t>Sink loop ΔT (°C)</t>
        </is>
      </c>
      <c r="C55" s="70" t="inlineStr">
        <is>
          <t>Fixed 10°C (module design). Process ΔT may differ.</t>
        </is>
      </c>
      <c r="D55" s="66" t="n"/>
    </row>
    <row r="56" ht="8" customHeight="1">
      <c r="A56" s="66" t="n"/>
      <c r="B56" s="66" t="n"/>
      <c r="C56" s="66" t="n"/>
      <c r="D56" s="66" t="n"/>
    </row>
    <row r="57">
      <c r="A57" s="69" t="inlineStr">
        <is>
          <t>5. Buyer Profile!B11</t>
        </is>
      </c>
      <c r="B57" s="70" t="inlineStr">
        <is>
          <t>Process selection (dropdown)</t>
        </is>
      </c>
      <c r="C57" s="70" t="inlineStr">
        <is>
          <t>Drives all demand parameters from Process Library</t>
        </is>
      </c>
      <c r="D57" s="66" t="n"/>
    </row>
    <row r="58">
      <c r="A58" s="69" t="inlineStr">
        <is>
          <t>5. Buyer Profile!B24</t>
        </is>
      </c>
      <c r="B58" s="70" t="inlineStr">
        <is>
          <t>Process ΔT (°C)</t>
        </is>
      </c>
      <c r="C58" s="70" t="inlineStr">
        <is>
          <t>From Process Library. Range 5-30°C by process.</t>
        </is>
      </c>
      <c r="D58" s="66" t="n"/>
    </row>
    <row r="59">
      <c r="A59" s="69" t="inlineStr">
        <is>
          <t>5. Buyer Profile!B33</t>
        </is>
      </c>
      <c r="B59" s="70" t="inlineStr">
        <is>
          <t>Modules needed (thermal)</t>
        </is>
      </c>
      <c r="C59" s="70" t="inlineStr">
        <is>
          <t>CEIL(demand/module_output)</t>
        </is>
      </c>
      <c r="D59" s="66" t="n"/>
    </row>
    <row r="60">
      <c r="A60" s="69" t="inlineStr">
        <is>
          <t>5. Buyer Profile!B34</t>
        </is>
      </c>
      <c r="B60" s="70" t="inlineStr">
        <is>
          <t>Modules needed (flow)</t>
        </is>
      </c>
      <c r="C60" s="70" t="inlineStr">
        <is>
          <t>Reference only - not used in sizing</t>
        </is>
      </c>
      <c r="D60" s="66" t="n"/>
    </row>
    <row r="61">
      <c r="A61" s="69" t="inlineStr">
        <is>
          <t>5. Buyer Profile!B35</t>
        </is>
      </c>
      <c r="B61" s="70" t="inlineStr">
        <is>
          <t>MODULES REQUIRED</t>
        </is>
      </c>
      <c r="C61" s="70" t="inlineStr">
        <is>
          <t>B33 (thermal only). Core sizing output.</t>
        </is>
      </c>
      <c r="D61" s="66" t="n"/>
    </row>
    <row r="62">
      <c r="A62" s="69" t="inlineStr">
        <is>
          <t>5. Buyer Profile!B36</t>
        </is>
      </c>
      <c r="B62" s="70" t="inlineStr">
        <is>
          <t>Flow deficit (m³/hr)</t>
        </is>
      </c>
      <c r="C62" s="70" t="inlineStr">
        <is>
          <t>MAX(0, buyer_flow - modules×module_flow)</t>
        </is>
      </c>
      <c r="D62" s="66" t="n"/>
    </row>
    <row r="63">
      <c r="A63" s="69" t="inlineStr">
        <is>
          <t>5. Buyer Profile!B37</t>
        </is>
      </c>
      <c r="B63" s="70" t="inlineStr">
        <is>
          <t>Flow ratio</t>
        </is>
      </c>
      <c r="C63" s="70" t="inlineStr">
        <is>
          <t>buyer_flow / system_flow. For sizing reference.</t>
        </is>
      </c>
      <c r="D63" s="66" t="n"/>
    </row>
    <row r="64">
      <c r="A64" s="69" t="inlineStr">
        <is>
          <t>5. Buyer Profile!B84</t>
        </is>
      </c>
      <c r="B64" s="70" t="inlineStr">
        <is>
          <t>Augmentation pumps required</t>
        </is>
      </c>
      <c r="C64" s="70" t="inlineStr">
        <is>
          <t>ROUNDUP(deficit/25). Discrete equipment count.</t>
        </is>
      </c>
      <c r="D64" s="66" t="n"/>
    </row>
    <row r="65">
      <c r="A65" s="69" t="inlineStr">
        <is>
          <t>5. Buyer Profile!B85</t>
        </is>
      </c>
      <c r="B65" s="70" t="inlineStr">
        <is>
          <t>Actual pump capacity (m³/hr)</t>
        </is>
      </c>
      <c r="C65" s="70" t="inlineStr">
        <is>
          <t>pumps × 25 m³/hr standard size</t>
        </is>
      </c>
      <c r="D65" s="66" t="n"/>
    </row>
    <row r="66">
      <c r="A66" s="69" t="inlineStr">
        <is>
          <t>5. Buyer Profile!B86</t>
        </is>
      </c>
      <c r="B66" s="70" t="inlineStr">
        <is>
          <t>Augmented system flow</t>
        </is>
      </c>
      <c r="C66" s="70" t="inlineStr">
        <is>
          <t>base_flow + pump_capacity</t>
        </is>
      </c>
      <c r="D66" s="66" t="n"/>
    </row>
    <row r="67">
      <c r="A67" s="69" t="inlineStr">
        <is>
          <t>5. Buyer Profile!B87</t>
        </is>
      </c>
      <c r="B67" s="70" t="inlineStr">
        <is>
          <t>Flow requirement met?</t>
        </is>
      </c>
      <c r="C67" s="70" t="inlineStr">
        <is>
          <t>YES/NO verification</t>
        </is>
      </c>
      <c r="D67" s="66" t="n"/>
    </row>
    <row r="68" ht="8" customHeight="1">
      <c r="A68" s="66" t="n"/>
      <c r="B68" s="66" t="n"/>
      <c r="C68" s="66" t="n"/>
      <c r="D68" s="66" t="n"/>
    </row>
    <row r="69">
      <c r="A69" s="69" t="inlineStr">
        <is>
          <t>6. System Capex!B43</t>
        </is>
      </c>
      <c r="B69" s="70" t="inlineStr">
        <is>
          <t>Plant equipment subtotal</t>
        </is>
      </c>
      <c r="C69" s="70" t="inlineStr">
        <is>
          <t>Modules + shared infrastructure</t>
        </is>
      </c>
      <c r="D69" s="66" t="n"/>
    </row>
    <row r="70">
      <c r="A70" s="69" t="inlineStr">
        <is>
          <t>6. System Capex!B44</t>
        </is>
      </c>
      <c r="B70" s="70" t="inlineStr">
        <is>
          <t>Heat rejection subtotal</t>
        </is>
      </c>
      <c r="C70" s="70" t="inlineStr">
        <is>
          <t>Dry coolers + controls</t>
        </is>
      </c>
      <c r="D70" s="66" t="n"/>
    </row>
    <row r="71">
      <c r="A71" s="69" t="inlineStr">
        <is>
          <t>6. System Capex!B45</t>
        </is>
      </c>
      <c r="B71" s="70" t="inlineStr">
        <is>
          <t>Hydraulic augmentation subtotal</t>
        </is>
      </c>
      <c r="C71" s="70" t="inlineStr">
        <is>
          <t>Pumps + mixing valve + pipe</t>
        </is>
      </c>
      <c r="D71" s="66" t="n"/>
    </row>
    <row r="72">
      <c r="A72" s="69" t="inlineStr">
        <is>
          <t>6. System Capex!B46</t>
        </is>
      </c>
      <c r="B72" s="70" t="inlineStr">
        <is>
          <t>TOTAL SYSTEM CAPEX</t>
        </is>
      </c>
      <c r="C72" s="70" t="inlineStr">
        <is>
          <t>plant + rejection + hydraulic</t>
        </is>
      </c>
      <c r="D72" s="66" t="n"/>
    </row>
    <row r="73">
      <c r="A73" s="69" t="inlineStr">
        <is>
          <t>7. System Opex!B37</t>
        </is>
      </c>
      <c r="B73" s="70" t="inlineStr">
        <is>
          <t>TOTAL SYSTEM OPEX</t>
        </is>
      </c>
      <c r="C73" s="70" t="inlineStr">
        <is>
          <t>All operating costs incl. hydraulic pumps</t>
        </is>
      </c>
      <c r="D73" s="66" t="n"/>
    </row>
    <row r="74">
      <c r="A74" s="69" t="inlineStr">
        <is>
          <t>9. System P&amp;L!B44</t>
        </is>
      </c>
      <c r="B74" s="70" t="inlineStr">
        <is>
          <t>Annual gross profit</t>
        </is>
      </c>
      <c r="C74" s="70" t="inlineStr">
        <is>
          <t>Revenue - opex</t>
        </is>
      </c>
      <c r="D74" s="66" t="n"/>
    </row>
    <row r="75" ht="8" customHeight="1">
      <c r="A75" s="66" t="n"/>
      <c r="B75" s="66" t="n"/>
      <c r="C75" s="66" t="n"/>
      <c r="D75" s="66" t="n"/>
    </row>
    <row r="76">
      <c r="A76" s="69" t="inlineStr">
        <is>
          <t>11. Reference Data!B71-B105</t>
        </is>
      </c>
      <c r="B76" s="70" t="inlineStr">
        <is>
          <t>Hardware capex rates</t>
        </is>
      </c>
      <c r="C76" s="70" t="inlineStr">
        <is>
          <t>Input assumptions for module capex</t>
        </is>
      </c>
      <c r="D76" s="66" t="n"/>
    </row>
    <row r="77">
      <c r="A77" s="69" t="inlineStr">
        <is>
          <t>11. Reference Data!B120-B124</t>
        </is>
      </c>
      <c r="B77" s="70" t="inlineStr">
        <is>
          <t>Hydraulic augmentation rates</t>
        </is>
      </c>
      <c r="C77" s="70" t="inlineStr">
        <is>
          <t>Pump £150/m³/hr, valve £2500, pipe £50/m³/hr, std pump 25m³/hr</t>
        </is>
      </c>
      <c r="D77" s="66" t="n"/>
    </row>
    <row r="78">
      <c r="A78" s="69" t="inlineStr">
        <is>
          <t>11. Reference Data!E23-E27</t>
        </is>
      </c>
      <c r="B78" s="70" t="inlineStr">
        <is>
          <t>Source ΔT by cooling method</t>
        </is>
      </c>
      <c r="C78" s="70" t="inlineStr">
        <is>
          <t>DTC=10, Single=6, Two=3, RDHX=12, Air=15°C</t>
        </is>
      </c>
      <c r="D78" s="66" t="n"/>
    </row>
    <row r="79" ht="8" customHeight="1">
      <c r="A79" s="66" t="n"/>
      <c r="B79" s="66" t="n"/>
      <c r="C79" s="66" t="n"/>
      <c r="D79" s="66" t="n"/>
    </row>
    <row r="80" ht="8" customHeight="1">
      <c r="A80" s="66" t="n"/>
      <c r="B80" s="66" t="n"/>
      <c r="C80" s="66" t="n"/>
      <c r="D80" s="66" t="n"/>
    </row>
    <row r="81" ht="18" customHeight="1">
      <c r="A81" s="68" t="inlineStr">
        <is>
          <t>CURRENT MODEL ARCHITECTURE</t>
        </is>
      </c>
      <c r="B81" s="68" t="n"/>
      <c r="C81" s="68" t="n"/>
      <c r="D81" s="66" t="n"/>
    </row>
    <row r="82" ht="8" customHeight="1">
      <c r="A82" s="66" t="n"/>
      <c r="B82" s="66" t="n"/>
      <c r="C82" s="66" t="n"/>
      <c r="D82" s="66" t="n"/>
    </row>
    <row r="83" ht="26" customHeight="1">
      <c r="A83" s="69" t="inlineStr">
        <is>
          <t>Module Sizing Logic</t>
        </is>
      </c>
      <c r="B83" s="70" t="inlineStr">
        <is>
          <t>Modules sized on THERMAL capacity only (not flow). Module count = CEIL(heat_demand / module_output).</t>
        </is>
      </c>
      <c r="C83" s="70" t="n"/>
      <c r="D83" s="66" t="n"/>
    </row>
    <row r="84" ht="26" customHeight="1">
      <c r="A84" s="69" t="inlineStr">
        <is>
          <t>Flow Handling</t>
        </is>
      </c>
      <c r="B84" s="70" t="inlineStr">
        <is>
          <t>Flow deficits handled via hydraulic augmentation (pumps, mixing valves) at ~£8k vs £250k+ per extra module.</t>
        </is>
      </c>
      <c r="C84" s="70" t="n"/>
      <c r="D84" s="66" t="n"/>
    </row>
    <row r="85" ht="26" customHeight="1">
      <c r="A85" s="69" t="inlineStr">
        <is>
          <t>ΔT Chain</t>
        </is>
      </c>
      <c r="B85" s="70" t="inlineStr">
        <is>
          <t>Cooling Method → Source ΔT (variable) → Source Flow. Module Sink ΔT (fixed 10°C) vs Process ΔT (variable) → Flow Deficit → Hydraulics.</t>
        </is>
      </c>
      <c r="C85" s="70" t="n"/>
      <c r="D85" s="66" t="n"/>
    </row>
    <row r="86" ht="26" customHeight="1">
      <c r="A86" s="69" t="inlineStr">
        <is>
          <t>COP Calculation</t>
        </is>
      </c>
      <c r="B86" s="70" t="inlineStr">
        <is>
          <t>Carnot-based: COP = 0.5 × (T_out + 273) / (T_out - T_source). Dynamic based on actual temperatures.</t>
        </is>
      </c>
      <c r="C86" s="70" t="n"/>
      <c r="D86" s="66" t="n"/>
    </row>
    <row r="87">
      <c r="A87" s="69" t="inlineStr">
        <is>
          <t>Infrastructure Power</t>
        </is>
      </c>
      <c r="B87" s="70" t="inlineStr">
        <is>
          <t>Derived from PUE by cooling method (PUE - 1). Not hardcoded.</t>
        </is>
      </c>
      <c r="C87" s="70" t="n"/>
      <c r="D87" s="66" t="n"/>
    </row>
    <row r="88" ht="8" customHeight="1">
      <c r="A88" s="66" t="n"/>
      <c r="B88" s="66" t="n"/>
      <c r="C88" s="66" t="n"/>
      <c r="D88" s="66" t="n"/>
    </row>
    <row r="89" ht="8" customHeight="1">
      <c r="A89" s="66" t="n"/>
      <c r="B89" s="66" t="n"/>
      <c r="C89" s="66" t="n"/>
      <c r="D89" s="66" t="n"/>
    </row>
    <row r="90" ht="18" customHeight="1">
      <c r="A90" s="68" t="inlineStr">
        <is>
          <t>KEY DESIGN DECISIONS</t>
        </is>
      </c>
      <c r="B90" s="68" t="n"/>
      <c r="C90" s="68" t="n"/>
      <c r="D90" s="66" t="n"/>
    </row>
    <row r="91" ht="8" customHeight="1">
      <c r="A91" s="66" t="n"/>
      <c r="B91" s="66" t="n"/>
      <c r="C91" s="66" t="n"/>
      <c r="D91" s="66" t="n"/>
    </row>
    <row r="92" ht="16" customHeight="1">
      <c r="A92" s="71" t="inlineStr">
        <is>
          <t>Decision</t>
        </is>
      </c>
      <c r="B92" s="71" t="inlineStr">
        <is>
          <t>Rationale</t>
        </is>
      </c>
      <c r="C92" s="71" t="n"/>
      <c r="D92" s="66" t="n"/>
    </row>
    <row r="93" ht="26" customHeight="1">
      <c r="A93" s="69" t="inlineStr">
        <is>
          <t>Thermal-only module sizing</t>
        </is>
      </c>
      <c r="B93" s="70" t="inlineStr">
        <is>
          <t>Physics: Q=ṁ×Cp×ΔT means sufficient heat can always match flow via blending. Flow is hydraulic cost, not module constraint.</t>
        </is>
      </c>
      <c r="C93" s="70" t="n"/>
      <c r="D93" s="66" t="n"/>
    </row>
    <row r="94" ht="26" customHeight="1">
      <c r="A94" s="69" t="inlineStr">
        <is>
          <t>Fixed module sink ΔT (10°C)</t>
        </is>
      </c>
      <c r="B94" s="70" t="inlineStr">
        <is>
          <t>Standard module design. Process ΔT varies (5-30°C). Mismatch creates flow deficit handled by augmentation.</t>
        </is>
      </c>
      <c r="C94" s="70" t="n"/>
      <c r="D94" s="66" t="n"/>
    </row>
    <row r="95" ht="26" customHeight="1">
      <c r="A95" s="69" t="inlineStr">
        <is>
          <t>Variable source ΔT by cooling</t>
        </is>
      </c>
      <c r="B95" s="70" t="inlineStr">
        <is>
          <t>Two-phase immersion has lower ΔT (3°C) vs air cooling (15°C). Affects source-side flow and pump sizing.</t>
        </is>
      </c>
      <c r="C95" s="70" t="n"/>
      <c r="D95" s="66" t="n"/>
    </row>
    <row r="96" ht="26" customHeight="1">
      <c r="A96" s="69" t="inlineStr">
        <is>
          <t>Discrete pump sizing (25 m³/hr)</t>
        </is>
      </c>
      <c r="B96" s="70" t="inlineStr">
        <is>
          <t>Standard commercial pump size. Count = ROUNDUP(deficit/25). Provides clear BOM and capex.</t>
        </is>
      </c>
      <c r="C96" s="70" t="n"/>
      <c r="D96" s="66" t="n"/>
    </row>
    <row r="97" ht="26" customHeight="1">
      <c r="A97" s="69" t="inlineStr">
        <is>
          <t>COP varies with temperature</t>
        </is>
      </c>
      <c r="B97" s="70" t="inlineStr">
        <is>
          <t>Real HP performance. Higher lift = lower COP = more electricity. Carnot efficiency ~50% typical.</t>
        </is>
      </c>
      <c r="C97" s="70" t="n"/>
      <c r="D97" s="66" t="n"/>
    </row>
    <row r="98" ht="8" customHeight="1">
      <c r="A98" s="66" t="n"/>
      <c r="B98" s="66" t="n"/>
      <c r="C98" s="66" t="n"/>
      <c r="D98" s="66" t="n"/>
    </row>
    <row r="99" ht="8" customHeight="1">
      <c r="A99" s="66" t="n"/>
      <c r="B99" s="66" t="n"/>
      <c r="C99" s="66" t="n"/>
      <c r="D99" s="66" t="n"/>
    </row>
    <row r="100" ht="18" customHeight="1">
      <c r="A100" s="72" t="inlineStr">
        <is>
          <t>CHANGE LOG (January 2026)</t>
        </is>
      </c>
      <c r="B100" s="73" t="n"/>
      <c r="C100" s="73" t="n"/>
      <c r="D100" s="66" t="n"/>
    </row>
    <row r="101" ht="8" customHeight="1">
      <c r="A101" s="66" t="n"/>
      <c r="B101" s="66" t="n"/>
      <c r="C101" s="66" t="n"/>
      <c r="D101" s="66" t="n"/>
    </row>
    <row r="102" ht="16" customHeight="1">
      <c r="A102" s="71" t="inlineStr">
        <is>
          <t>Change</t>
        </is>
      </c>
      <c r="B102" s="71" t="inlineStr">
        <is>
          <t>Impact</t>
        </is>
      </c>
      <c r="C102" s="71" t="n"/>
      <c r="D102" s="66" t="n"/>
    </row>
    <row r="103">
      <c r="A103" s="69" t="inlineStr">
        <is>
          <t>COP: Hardcoded 4 → Carnot formula</t>
        </is>
      </c>
      <c r="B103" s="70" t="inlineStr">
        <is>
          <t>COP now 3-6 depending on temps. Affects HP electricity and thermal output.</t>
        </is>
      </c>
      <c r="C103" s="70" t="n"/>
      <c r="D103" s="66" t="n"/>
    </row>
    <row r="104">
      <c r="A104" s="69" t="inlineStr">
        <is>
          <t>Module sizing: MAX(thermal,flow) → thermal only</t>
        </is>
      </c>
      <c r="B104" s="70" t="inlineStr">
        <is>
          <t>Pasteurisation: 5 modules → 3 modules (-40% capex). Flow deficit via pumps.</t>
        </is>
      </c>
      <c r="C104" s="70" t="n"/>
      <c r="D104" s="66" t="n"/>
    </row>
    <row r="105">
      <c r="A105" s="69" t="inlineStr">
        <is>
          <t>Infrastructure power: 5% → PUE-based</t>
        </is>
      </c>
      <c r="B105" s="70" t="inlineStr">
        <is>
          <t>DTC: 2% overhead. Immersion: 5-40%. Reflects actual cooling method efficiency.</t>
        </is>
      </c>
      <c r="C105" s="70" t="n"/>
      <c r="D105" s="66" t="n"/>
    </row>
    <row r="106">
      <c r="A106" s="69" t="inlineStr">
        <is>
          <t>Source ΔT: Hardcoded 10°C → cooling method lookup</t>
        </is>
      </c>
      <c r="B106" s="70" t="inlineStr">
        <is>
          <t>Two-phase: 3°C. Air: 15°C. Affects source flow calculations.</t>
        </is>
      </c>
      <c r="C106" s="70" t="n"/>
      <c r="D106" s="66" t="n"/>
    </row>
    <row r="107">
      <c r="A107" s="69" t="inlineStr">
        <is>
          <t>Added hydraulic augmentation</t>
        </is>
      </c>
      <c r="B107" s="70" t="inlineStr">
        <is>
          <t>New capex/opex sections for pumps, mixing valves when flow deficit exists.</t>
        </is>
      </c>
      <c r="C107" s="70" t="n"/>
      <c r="D107" s="66" t="n"/>
    </row>
    <row r="108">
      <c r="A108" s="69" t="inlineStr">
        <is>
          <t>Added discrete pump sizing</t>
        </is>
      </c>
      <c r="B108" s="70" t="inlineStr">
        <is>
          <t>Pump count, capacity, verification. Flows through BOM and capex.</t>
        </is>
      </c>
      <c r="C108" s="70" t="n"/>
      <c r="D108" s="66" t="n"/>
    </row>
    <row r="109" ht="26" customHeight="1">
      <c r="A109" s="69" t="inlineStr">
        <is>
          <t>Fixed broken references</t>
        </is>
      </c>
      <c r="B109" s="70" t="inlineStr">
        <is>
          <t>Module Opex maintenance/insurance, Buyer Profile heat balance, System P&amp;L profit formulas.</t>
        </is>
      </c>
      <c r="C109" s="70" t="n"/>
      <c r="D109" s="66" t="n"/>
    </row>
    <row r="110">
      <c r="A110" t="inlineStr">
        <is>
          <t>Added formula documentation (F/G/H columns)</t>
        </is>
      </c>
      <c r="B110" t="inlineStr">
        <is>
          <t>All calculation sheets now have Intent, Explanation, and Dependents columns.</t>
        </is>
      </c>
    </row>
    <row r="112">
      <c r="A112" t="inlineStr">
        <is>
          <t>DOCUMENTATION STRUCTURE</t>
        </is>
      </c>
    </row>
    <row r="114">
      <c r="A114" t="inlineStr">
        <is>
          <t>Column F: Intent</t>
        </is>
      </c>
      <c r="B114" t="inlineStr">
        <is>
          <t>Why this cell exists - business/engineering purpose</t>
        </is>
      </c>
    </row>
    <row r="115">
      <c r="A115" t="inlineStr">
        <is>
          <t>Column G: Explanation</t>
        </is>
      </c>
      <c r="B115" t="inlineStr">
        <is>
          <t>What the formula/value does technically</t>
        </is>
      </c>
    </row>
    <row r="116">
      <c r="A116" t="inlineStr">
        <is>
          <t>Column H: Dependents</t>
        </is>
      </c>
      <c r="B116" t="inlineStr">
        <is>
          <t>Cells that directly reference this cell</t>
        </is>
      </c>
    </row>
    <row r="117">
      <c r="A117" t="inlineStr">
        <is>
          <t>Purpose</t>
        </is>
      </c>
    </row>
    <row r="118">
      <c r="A118" t="inlineStr">
        <is>
          <t>Formula documentation</t>
        </is>
      </c>
      <c r="B118" t="inlineStr">
        <is>
          <t>Every calculation sheet (0-11) has columns F and G for documentation. This enables traceability and reduces errors during model updates.</t>
        </is>
      </c>
    </row>
    <row r="119">
      <c r="A119" t="inlineStr">
        <is>
          <t>Dependency tracking</t>
        </is>
      </c>
      <c r="B119" t="inlineStr">
        <is>
          <t>Direct dependents only (not cascading). Shows which downstream calculations would be affected if this cell changes.</t>
        </is>
      </c>
    </row>
    <row r="121">
      <c r="A121" t="inlineStr">
        <is>
          <t>Maintenance Guidelines</t>
        </is>
      </c>
    </row>
    <row r="122">
      <c r="A122" t="inlineStr">
        <is>
          <t>When adding a new formula</t>
        </is>
      </c>
      <c r="B122" t="inlineStr">
        <is>
          <t>Add explanation in column F describing the formula's purpose. Check if any cells reference this new cell and update their Dependents.</t>
        </is>
      </c>
    </row>
    <row r="123">
      <c r="A123" t="inlineStr">
        <is>
          <t>When modifying a formula</t>
        </is>
      </c>
      <c r="B123" t="inlineStr">
        <is>
          <t>Update the explanation if the logic changes. Review dependents to ensure downstream calculations still make sense.</t>
        </is>
      </c>
    </row>
    <row r="124">
      <c r="A124" t="inlineStr">
        <is>
          <t>When deleting a cell</t>
        </is>
      </c>
      <c r="B124" t="inlineStr">
        <is>
          <t>Check Dependents column first. If any cells reference this one, update or remove those formulas before deleting.</t>
        </is>
      </c>
    </row>
    <row r="126">
      <c r="A126" t="inlineStr">
        <is>
          <t>Format Conventions</t>
        </is>
      </c>
    </row>
    <row r="127">
      <c r="A127" t="inlineStr">
        <is>
          <t>Intent column</t>
        </is>
      </c>
      <c r="B127" t="inlineStr">
        <is>
          <t>Brief statement of purpose (5-15 words). Focus on WHY not WHAT.</t>
        </is>
      </c>
    </row>
    <row r="128">
      <c r="A128" t="inlineStr">
        <is>
          <t>Explanation column</t>
        </is>
      </c>
      <c r="B128" t="inlineStr">
        <is>
          <t>Technical description of formula logic or value source.</t>
        </is>
      </c>
    </row>
    <row r="129">
      <c r="A129" t="inlineStr">
        <is>
          <t>Dependents column</t>
        </is>
      </c>
      <c r="B129" t="inlineStr">
        <is>
          <t>Format: Sheet!Cell - Description. Max 10 entries shown.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"/>
  <sheetViews>
    <sheetView topLeftCell="A32" workbookViewId="0">
      <selection activeCell="C38" sqref="C38"/>
    </sheetView>
  </sheetViews>
  <sheetFormatPr baseColWidth="10" defaultColWidth="8.83203125" defaultRowHeight="15"/>
  <cols>
    <col width="34" customWidth="1" min="1" max="1"/>
    <col width="18" customWidth="1" min="2" max="2"/>
    <col width="28" customWidth="1" min="3" max="3"/>
    <col width="12" customWidth="1" min="4" max="4"/>
    <col width="8" customWidth="1" min="5" max="5"/>
    <col width="45" customWidth="1" min="6" max="6"/>
    <col width="50" customWidth="1" min="7" max="7"/>
    <col width="60" customWidth="1" min="8" max="8"/>
  </cols>
  <sheetData>
    <row r="1">
      <c r="A1" s="15" t="inlineStr">
        <is>
          <t>RACK PROFILE</t>
        </is>
      </c>
      <c r="B1" s="15" t="n"/>
      <c r="C1" s="15" t="n"/>
      <c r="D1" s="15" t="n"/>
      <c r="E1" s="15" t="n"/>
      <c r="F1" s="97" t="inlineStr">
        <is>
          <t>Intent</t>
        </is>
      </c>
      <c r="G1" s="97" t="inlineStr">
        <is>
          <t>Explanation</t>
        </is>
      </c>
      <c r="H1" s="97" t="inlineStr">
        <is>
          <t>Dependents</t>
        </is>
      </c>
    </row>
    <row r="2">
      <c r="A2" s="31" t="inlineStr">
        <is>
          <t>Define module hardware configuration - chipset and cooling approach</t>
        </is>
      </c>
      <c r="F2" s="98" t="inlineStr">
        <is>
          <t>Define GPU hardware to determine power and cooling requirements</t>
        </is>
      </c>
      <c r="G2" s="99" t="inlineStr">
        <is>
          <t>Row label only</t>
        </is>
      </c>
      <c r="H2" s="99" t="n"/>
    </row>
    <row r="3">
      <c r="F3" s="98" t="n"/>
      <c r="G3" s="99" t="n"/>
      <c r="H3" s="99" t="n"/>
    </row>
    <row r="4">
      <c r="A4" s="15" t="inlineStr">
        <is>
          <t>CHIPSET CONFIGURATION</t>
        </is>
      </c>
      <c r="B4" s="15" t="n"/>
      <c r="C4" s="15" t="n"/>
      <c r="D4" s="15" t="n"/>
      <c r="E4" s="15" t="n"/>
      <c r="F4" s="97" t="n"/>
      <c r="G4" s="97" t="n"/>
      <c r="H4" s="97" t="n"/>
    </row>
    <row r="5">
      <c r="F5" s="98" t="n"/>
      <c r="G5" s="99" t="n"/>
      <c r="H5" s="99" t="n"/>
    </row>
    <row r="6">
      <c r="A6" s="31" t="inlineStr">
        <is>
          <t>Chipset type</t>
        </is>
      </c>
      <c r="B6" s="27" t="inlineStr">
        <is>
          <t>NVIDIA H100</t>
        </is>
      </c>
      <c r="F6" s="98" t="inlineStr">
        <is>
          <t>Define GPU hardware to determine power and cooling requirements</t>
        </is>
      </c>
      <c r="G6" s="99" t="inlineStr">
        <is>
          <t>Text value for Chipset type</t>
        </is>
      </c>
      <c r="H6" s="99" t="inlineStr">
        <is>
          <t>0. Rack Profile!B9 - TDP per chip (W); 0. Rack Profile!B10 - Chips per server; 0. Rack Profile!B12 - Max junction temp (°C); 2. Module Capex!B5 - Chipset; 5. Buyer Profile!B5 - Chipset; 6. System Capex!B5 - Chipset; 7. System Opex!B5 - Chipset; 8. System Flow!B5 - Chipset; 9. System P&amp;L!B8 - Chipset</t>
        </is>
      </c>
    </row>
    <row r="7">
      <c r="F7" s="98" t="n"/>
      <c r="G7" s="99" t="n"/>
      <c r="H7" s="99" t="n"/>
    </row>
    <row r="8">
      <c r="A8" s="41" t="inlineStr">
        <is>
          <t>Chipset Specifications</t>
        </is>
      </c>
      <c r="B8" s="41" t="n"/>
      <c r="C8" s="41" t="n"/>
      <c r="D8" s="41" t="n"/>
      <c r="E8" s="41" t="n"/>
      <c r="F8" s="94" t="inlineStr">
        <is>
          <t>Define GPU hardware to determine power and cooling requirements</t>
        </is>
      </c>
      <c r="G8" s="94" t="inlineStr">
        <is>
          <t>Row label only</t>
        </is>
      </c>
      <c r="H8" s="94" t="n"/>
    </row>
    <row r="9">
      <c r="A9" s="31" t="inlineStr">
        <is>
          <t>TDP per chip (W)</t>
        </is>
      </c>
      <c r="B9" s="30">
        <f>IF(B6="NVIDIA H100",700,IF(B6="NVIDIA H200",700,IF(B6="NVIDIA B200",1000,IF(B6="AMD MI300X",750,IF(B6="Intel Gaudi 3",600,500)))))</f>
        <v/>
      </c>
      <c r="C9" t="inlineStr">
        <is>
          <t>Thermal Design Power</t>
        </is>
      </c>
      <c r="F9" s="98" t="inlineStr">
        <is>
          <t>Establish base power draw for thermal calculations</t>
        </is>
      </c>
      <c r="G9" s="99" t="inlineStr">
        <is>
          <t>Conditional logic for TDP per chip (W)</t>
        </is>
      </c>
      <c r="H9" s="99" t="inlineStr">
        <is>
          <t>0. Rack Profile!B11 - Server power (kW)</t>
        </is>
      </c>
    </row>
    <row r="10">
      <c r="A10" s="31" t="inlineStr">
        <is>
          <t>Chips per server</t>
        </is>
      </c>
      <c r="B10" s="31">
        <f>IF(B6="NVIDIA H100",8,IF(B6="NVIDIA H200",8,IF(B6="NVIDIA B200",8,IF(B6="AMD MI300X",8,IF(B6="Intel Gaudi 3",8,8)))))</f>
        <v/>
      </c>
      <c r="C10" t="inlineStr">
        <is>
          <t>Typical GPU count per node</t>
        </is>
      </c>
      <c r="F10" s="98" t="inlineStr">
        <is>
          <t>Configure server density for rack power calculations</t>
        </is>
      </c>
      <c r="G10" s="99" t="inlineStr">
        <is>
          <t>Conditional logic for Chips per server</t>
        </is>
      </c>
      <c r="H10" s="99" t="inlineStr">
        <is>
          <t>0. Rack Profile!B11 - Server power (kW); 0. Rack Profile!B30 - GPUs per rack</t>
        </is>
      </c>
    </row>
    <row r="11">
      <c r="A11" s="31" t="inlineStr">
        <is>
          <t>Server power (kW)</t>
        </is>
      </c>
      <c r="B11" s="32">
        <f>B9*B10/1000*1.15</f>
        <v/>
      </c>
      <c r="C11" t="inlineStr">
        <is>
          <t>Chip TDP × count × 1.15 (overhead)</t>
        </is>
      </c>
      <c r="F11" s="98" t="inlineStr">
        <is>
          <t>Calculate total server power including overhead for sizing</t>
        </is>
      </c>
      <c r="G11" s="99" t="inlineStr">
        <is>
          <t>Calculated from upstream values for Server power (kW)</t>
        </is>
      </c>
      <c r="H11" s="99" t="inlineStr">
        <is>
          <t>0. Rack Profile!B29 - Servers per rack; 0. Rack Profile!B31 - Actual rack power (kW)</t>
        </is>
      </c>
    </row>
    <row r="12">
      <c r="A12" s="31" t="inlineStr">
        <is>
          <t>Max junction temp (°C)</t>
        </is>
      </c>
      <c r="B12" s="31">
        <f>IF(B6="NVIDIA H100",83,IF(B6="NVIDIA H200",83,IF(B6="NVIDIA B200",85,IF(B6="AMD MI300X",90,IF(B6="Intel Gaudi 3",95,85)))))</f>
        <v/>
      </c>
      <c r="C12" t="inlineStr">
        <is>
          <t>Chip thermal limit</t>
        </is>
      </c>
      <c r="F12" s="98" t="inlineStr">
        <is>
          <t>Define thermal limits to ensure safe GPU operation</t>
        </is>
      </c>
      <c r="G12" s="99" t="inlineStr">
        <is>
          <t>Conditional logic for Max junction temp (°C)</t>
        </is>
      </c>
      <c r="H12" s="99" t="inlineStr">
        <is>
          <t>0. Rack Profile!B13 - Recommended coolant inlet (°C)</t>
        </is>
      </c>
    </row>
    <row r="13">
      <c r="A13" s="31" t="inlineStr">
        <is>
          <t>Recommended coolant inlet (°C)</t>
        </is>
      </c>
      <c r="B13" s="31">
        <f>B12-25</f>
        <v/>
      </c>
      <c r="C13" t="inlineStr">
        <is>
          <t>Target 25°C below Tj max</t>
        </is>
      </c>
      <c r="F13" s="98" t="inlineStr">
        <is>
          <t>Set cooling system design temperature</t>
        </is>
      </c>
      <c r="G13" s="99" t="inlineStr">
        <is>
          <t>Calculated from upstream values for Recommended coolant inlet (°C)</t>
        </is>
      </c>
      <c r="H13" s="99" t="n"/>
    </row>
    <row r="14">
      <c r="F14" s="98" t="n"/>
      <c r="G14" s="99" t="n"/>
      <c r="H14" s="99" t="n"/>
    </row>
    <row r="15">
      <c r="A15" s="15" t="inlineStr">
        <is>
          <t>COOLING APPROACH</t>
        </is>
      </c>
      <c r="B15" s="15" t="n"/>
      <c r="C15" s="15" t="n"/>
      <c r="D15" s="15" t="n"/>
      <c r="E15" s="15" t="n"/>
      <c r="F15" s="97" t="n"/>
      <c r="G15" s="97" t="n"/>
      <c r="H15" s="97" t="n"/>
    </row>
    <row r="16">
      <c r="F16" s="98" t="n"/>
      <c r="G16" s="99" t="n"/>
      <c r="H16" s="99" t="n"/>
    </row>
    <row r="17">
      <c r="A17" s="31" t="inlineStr">
        <is>
          <t>Cooling method</t>
        </is>
      </c>
      <c r="B17" s="27" t="inlineStr">
        <is>
          <t>Direct-to-Chip (DTC)</t>
        </is>
      </c>
      <c r="F17" s="98" t="inlineStr">
        <is>
          <t>Select cooling technology to determine heat capture and costs</t>
        </is>
      </c>
      <c r="G17" s="99" t="inlineStr">
        <is>
          <t>Text value for Cooling method</t>
        </is>
      </c>
      <c r="H17" s="99" t="inlineStr">
        <is>
          <t>0. Rack Profile!B20 - Heat capture rate (%); 0. Rack Profile!B21 - Capture temperature (°C); 0. Rack Profile!B22 - Coolant type; 0. Rack Profile!B23 - PUE contribution; 0. Rack Profile!B24 - Capex premium vs air-cooled (%); 0. Rack Profile!B25 - Rack thermal limit (kW/rack); 2. Module Capex!B6 - Cooling method; 4. Module Flow!B11 - Source loop ΔT (°C); 5. Buyer Profile!B6 - Cooling method; 6. System Capex!B6 - Cooling method; ... and 3 more</t>
        </is>
      </c>
    </row>
    <row r="18">
      <c r="F18" s="98" t="n"/>
      <c r="G18" s="99" t="n"/>
      <c r="H18" s="99" t="n"/>
    </row>
    <row r="19">
      <c r="A19" s="41" t="inlineStr">
        <is>
          <t>Cooling Method Characteristics</t>
        </is>
      </c>
      <c r="B19" s="41" t="n"/>
      <c r="C19" s="41" t="n"/>
      <c r="D19" s="41" t="n"/>
      <c r="E19" s="41" t="n"/>
      <c r="F19" s="94" t="inlineStr">
        <is>
          <t>Select cooling technology to determine heat capture and costs</t>
        </is>
      </c>
      <c r="G19" s="94" t="inlineStr">
        <is>
          <t>Row label only</t>
        </is>
      </c>
      <c r="H19" s="94" t="n"/>
    </row>
    <row r="20">
      <c r="A20" s="31" t="inlineStr">
        <is>
          <t>Heat capture rate (%)</t>
        </is>
      </c>
      <c r="B20" s="33">
        <f>IF(B17="Direct-to-Chip (DTC)",0.75,IF(B17="Single-Phase Immersion",0.95,IF(B17="Two-Phase Immersion",0.98,IF(B17="Rear Door Heat Exchanger",0.5,0.05))))</f>
        <v/>
      </c>
      <c r="C20" t="inlineStr">
        <is>
          <t>Fraction of IT heat captured to liquid</t>
        </is>
      </c>
      <c r="F20" s="98" t="inlineStr">
        <is>
          <t>Quantify recoverable heat for revenue calculations</t>
        </is>
      </c>
      <c r="G20" s="99" t="inlineStr">
        <is>
          <t>Conditional logic for Heat capture rate (%)</t>
        </is>
      </c>
      <c r="H20" s="99" t="inlineStr">
        <is>
          <t>0. Rack Profile!B43 - Captured heat (kWth); 0. Rack Profile!B45 - Residual heat to air (kWth); 0. Rack Profile!B63 - Total heat output (per kW IT); 1. Module Criteria!B10 - Heat capture rate (%)</t>
        </is>
      </c>
    </row>
    <row r="21">
      <c r="A21" s="31" t="inlineStr">
        <is>
          <t>Capture temperature (°C)</t>
        </is>
      </c>
      <c r="B21" s="34">
        <f>IF(B17="Direct-to-Chip (DTC)",57.5,IF(B17="Single-Phase Immersion",50,IF(B17="Two-Phase Immersion",55,IF(B17="Rear Door Heat Exchanger",45,35))))</f>
        <v/>
      </c>
      <c r="C21" t="inlineStr">
        <is>
          <t>Typical coolant outlet temperature</t>
        </is>
      </c>
      <c r="F21" s="98" t="inlineStr">
        <is>
          <t>Determine heat quality for buyer matching</t>
        </is>
      </c>
      <c r="G21" s="99" t="inlineStr">
        <is>
          <t>Conditional logic for Capture temperature (°C)</t>
        </is>
      </c>
      <c r="H21" s="99" t="inlineStr">
        <is>
          <t>0. Rack Profile!B44 - Capture temperature (°C); 0. Rack Profile!B49 - Heat capture quality; 0. Rack Profile!B50 - Heat pump requirement; 0. Rack Profile!B51 - Recommended HP output (°C); 0. Rack Profile!B52 - Estimated COP at recommended output; 0. Rack Profile!B60 - Temperature lift (K); 1. Module Criteria!B12 - Capture temperature (°C); 8. System Flow!B7 - Capture temperature (°C)</t>
        </is>
      </c>
    </row>
    <row r="22">
      <c r="A22" s="31" t="inlineStr">
        <is>
          <t>Coolant type</t>
        </is>
      </c>
      <c r="B22" s="31">
        <f>IF(B17="Direct-to-Chip (DTC)","Water/Glycol",IF(B17="Single-Phase Immersion","Dielectric fluid",IF(B17="Two-Phase Immersion","Fluorocarbon",IF(B17="Rear Door Heat Exchanger","Water/Glycol","Air"))))</f>
        <v/>
      </c>
      <c r="F22" s="98" t="inlineStr">
        <is>
          <t>Specify fluid for equipment selection</t>
        </is>
      </c>
      <c r="G22" s="99" t="inlineStr">
        <is>
          <t>Conditional logic for Coolant type</t>
        </is>
      </c>
      <c r="H22" s="99" t="n"/>
    </row>
    <row r="23">
      <c r="A23" s="31" t="inlineStr">
        <is>
          <t>PUE contribution</t>
        </is>
      </c>
      <c r="B23" s="31">
        <f>IF(B17="Direct-to-Chip (DTC)",1.05,IF(B17="Single-Phase Immersion",1.03,IF(B17="Two-Phase Immersion",1.02,IF(B17="Rear Door Heat Exchanger",1.1,1.4))))</f>
        <v/>
      </c>
      <c r="C23" t="inlineStr">
        <is>
          <t>Cooling system efficiency factor</t>
        </is>
      </c>
      <c r="F23" s="98" t="inlineStr">
        <is>
          <t>Model infrastructure efficiency for opex calculations</t>
        </is>
      </c>
      <c r="G23" s="99" t="inlineStr">
        <is>
          <t>Conditional logic for PUE contribution</t>
        </is>
      </c>
      <c r="H23" s="99" t="inlineStr">
        <is>
          <t>3. Module Opex!B6 - Infrastructure power (from PUE)</t>
        </is>
      </c>
    </row>
    <row r="24">
      <c r="A24" s="31" t="inlineStr">
        <is>
          <t>Capex premium vs air-cooled (%)</t>
        </is>
      </c>
      <c r="B24" s="34">
        <f>IF(B17="Direct-to-Chip (DTC)",15,IF(B17="Single-Phase Immersion",25,IF(B17="Two-Phase Immersion",40,IF(B17="Rear Door Heat Exchanger",10,0))))</f>
        <v/>
      </c>
      <c r="F24" s="98" t="inlineStr">
        <is>
          <t>Account for cooling technology cost differences</t>
        </is>
      </c>
      <c r="G24" s="99" t="inlineStr">
        <is>
          <t>Conditional logic for Capex premium vs air-cooled (%)</t>
        </is>
      </c>
      <c r="H24" s="99" t="inlineStr">
        <is>
          <t>2. Module Capex!B59 - Premium rate (%)</t>
        </is>
      </c>
    </row>
    <row r="25">
      <c r="A25" s="31" t="inlineStr">
        <is>
          <t>Rack thermal limit (kW/rack)</t>
        </is>
      </c>
      <c r="B25" s="30">
        <f>IF(B17="Direct-to-Chip (DTC)",80,IF(B17="Single-Phase Immersion",100,IF(B17="Two-Phase Immersion",120,IF(B17="Rear Door Heat Exchanger",40,20))))</f>
        <v/>
      </c>
      <c r="C25" t="inlineStr">
        <is>
          <t>Max power per 42U rack</t>
        </is>
      </c>
      <c r="F25" s="98" t="inlineStr">
        <is>
          <t>Set rack density constraint for module sizing</t>
        </is>
      </c>
      <c r="G25" s="99" t="inlineStr">
        <is>
          <t>Conditional logic for Rack thermal limit (kW/rack)</t>
        </is>
      </c>
      <c r="H25" s="99" t="inlineStr">
        <is>
          <t>0. Rack Profile!B29 - Servers per rack; 0. Rack Profile!B32 - Rack thermal utilisation (%)</t>
        </is>
      </c>
    </row>
    <row r="26">
      <c r="F26" s="98" t="n"/>
      <c r="G26" s="99" t="n"/>
      <c r="H26" s="99" t="n"/>
    </row>
    <row r="27">
      <c r="A27" s="15" t="inlineStr">
        <is>
          <t>RACK CONFIGURATION</t>
        </is>
      </c>
      <c r="B27" s="15" t="n"/>
      <c r="C27" s="15" t="n"/>
      <c r="D27" s="15" t="n"/>
      <c r="E27" s="15" t="n"/>
      <c r="F27" s="97" t="n"/>
      <c r="G27" s="97" t="n"/>
      <c r="H27" s="97" t="n"/>
    </row>
    <row r="28">
      <c r="F28" s="98" t="n"/>
      <c r="G28" s="99" t="n"/>
      <c r="H28" s="99" t="n"/>
    </row>
    <row r="29">
      <c r="A29" s="31" t="inlineStr">
        <is>
          <t>Servers per rack</t>
        </is>
      </c>
      <c r="B29" s="31">
        <f>ROUNDDOWN(B25/B11,0)</f>
        <v/>
      </c>
      <c r="C29" t="inlineStr">
        <is>
          <t>Rack thermal limit ÷ server power</t>
        </is>
      </c>
      <c r="F29" s="98" t="inlineStr">
        <is>
          <t>Calculate achievable density within thermal limits</t>
        </is>
      </c>
      <c r="G29" s="99" t="inlineStr">
        <is>
          <t>Rounded calculation for Servers per rack</t>
        </is>
      </c>
      <c r="H29" s="99" t="inlineStr">
        <is>
          <t>0. Rack Profile!B30 - GPUs per rack; 0. Rack Profile!B31 - Actual rack power (kW); 0. Rack Profile!B38 - Servers per module</t>
        </is>
      </c>
    </row>
    <row r="30">
      <c r="A30" s="31" t="inlineStr">
        <is>
          <t>GPUs per rack</t>
        </is>
      </c>
      <c r="B30" s="31">
        <f>B29*B10</f>
        <v/>
      </c>
      <c r="C30" t="inlineStr">
        <is>
          <t>Servers per rack × chips per server</t>
        </is>
      </c>
      <c r="F30" s="98" t="inlineStr">
        <is>
          <t>Compute total GPU capacity per rack</t>
        </is>
      </c>
      <c r="G30" s="99" t="inlineStr">
        <is>
          <t>Calculated from upstream values for GPUs per rack</t>
        </is>
      </c>
      <c r="H30" s="99" t="inlineStr">
        <is>
          <t>0. Rack Profile!B39 - GPUs per module</t>
        </is>
      </c>
    </row>
    <row r="31">
      <c r="A31" s="31" t="inlineStr">
        <is>
          <t>Actual rack power (kW)</t>
        </is>
      </c>
      <c r="B31" s="32">
        <f>B29*B11</f>
        <v/>
      </c>
      <c r="C31" t="inlineStr">
        <is>
          <t>May be less than thermal limit</t>
        </is>
      </c>
      <c r="F31" s="98" t="inlineStr">
        <is>
          <t>Determine actual power for infrastructure sizing</t>
        </is>
      </c>
      <c r="G31" s="99" t="inlineStr">
        <is>
          <t>Calculated from upstream values for Actual rack power (kW)</t>
        </is>
      </c>
      <c r="H31" s="99" t="inlineStr">
        <is>
          <t>0. Rack Profile!B32 - Rack thermal utilisation (%); 0. Rack Profile!B37 - Racks per module; 0. Rack Profile!B40 - Actual module IT capacity (kW)</t>
        </is>
      </c>
    </row>
    <row r="32">
      <c r="A32" s="31" t="inlineStr">
        <is>
          <t>Rack thermal utilisation (%)</t>
        </is>
      </c>
      <c r="B32" s="33">
        <f>B31/B25</f>
        <v/>
      </c>
      <c r="C32" t="inlineStr">
        <is>
          <t>Actual vs limit</t>
        </is>
      </c>
      <c r="F32" s="98" t="inlineStr">
        <is>
          <t>Assess how well rack capacity is used</t>
        </is>
      </c>
      <c r="G32" s="99" t="inlineStr">
        <is>
          <t>Calculated from upstream values for Rack thermal utilisation (%)</t>
        </is>
      </c>
      <c r="H32" s="99" t="n"/>
    </row>
    <row r="33">
      <c r="F33" s="98" t="n"/>
      <c r="G33" s="99" t="n"/>
      <c r="H33" s="99" t="n"/>
    </row>
    <row r="34">
      <c r="A34" s="15" t="inlineStr">
        <is>
          <t>MODULE SUMMARY</t>
        </is>
      </c>
      <c r="B34" s="15" t="n"/>
      <c r="C34" s="15" t="n"/>
      <c r="D34" s="15" t="n"/>
      <c r="E34" s="15" t="n"/>
      <c r="F34" s="97" t="n"/>
      <c r="G34" s="97" t="n"/>
      <c r="H34" s="97" t="n"/>
    </row>
    <row r="35">
      <c r="F35" s="98" t="n"/>
      <c r="G35" s="99" t="n"/>
      <c r="H35" s="99" t="n"/>
    </row>
    <row r="36">
      <c r="A36" s="31" t="inlineStr">
        <is>
          <t>Module IT capacity target (kW)</t>
        </is>
      </c>
      <c r="B36" s="25" t="n">
        <v>250</v>
      </c>
      <c r="C36" t="inlineStr">
        <is>
          <t>Design target - adjust as needed</t>
        </is>
      </c>
      <c r="F36" s="98" t="inlineStr">
        <is>
          <t>Define standardised module size for business model</t>
        </is>
      </c>
      <c r="G36" s="99" t="inlineStr">
        <is>
          <t>Input parameter: Module IT capacity target (kW)</t>
        </is>
      </c>
      <c r="H36" s="99" t="inlineStr">
        <is>
          <t>0. Rack Profile!B37 - Racks per module</t>
        </is>
      </c>
    </row>
    <row r="37">
      <c r="A37" s="31" t="inlineStr">
        <is>
          <t>Racks per module</t>
        </is>
      </c>
      <c r="B37" s="31">
        <f>ROUNDUP(B36/B31,0)</f>
        <v/>
      </c>
      <c r="C37" t="inlineStr">
        <is>
          <t>To meet capacity target</t>
        </is>
      </c>
      <c r="F37" s="98" t="inlineStr">
        <is>
          <t>Calculate rack count to meet module capacity target</t>
        </is>
      </c>
      <c r="G37" s="99" t="inlineStr">
        <is>
          <t>Rounded calculation for Racks per module</t>
        </is>
      </c>
      <c r="H37" s="99" t="inlineStr">
        <is>
          <t>0. Rack Profile!B38 - Servers per module; 0. Rack Profile!B39 - GPUs per module; 0. Rack Profile!B40 - Actual module IT capacity (kW); 2. Module Capex!B7 - Racks per module</t>
        </is>
      </c>
    </row>
    <row r="38">
      <c r="A38" s="31" t="inlineStr">
        <is>
          <t>Servers per module</t>
        </is>
      </c>
      <c r="B38" s="31">
        <f>B37*B29</f>
        <v/>
      </c>
      <c r="F38" s="98" t="inlineStr">
        <is>
          <t>Aggregate compute capacity at module level</t>
        </is>
      </c>
      <c r="G38" s="99" t="inlineStr">
        <is>
          <t>Calculated from upstream values for Servers per module</t>
        </is>
      </c>
      <c r="H38" s="99" t="inlineStr">
        <is>
          <t>2. Module Capex!B8 - Servers per module</t>
        </is>
      </c>
    </row>
    <row r="39">
      <c r="A39" s="31" t="inlineStr">
        <is>
          <t>GPUs per module</t>
        </is>
      </c>
      <c r="B39" s="31">
        <f>B37*B30</f>
        <v/>
      </c>
      <c r="F39" s="98" t="inlineStr">
        <is>
          <t>Aggregate compute capacity at module level</t>
        </is>
      </c>
      <c r="G39" s="99" t="inlineStr">
        <is>
          <t>Calculated from upstream values for GPUs per module</t>
        </is>
      </c>
      <c r="H39" s="99" t="inlineStr">
        <is>
          <t>2. Module Capex!B69 - Capex per GPU (£/GPU); 5. Buyer Profile!B7 - GPUs per module; 6. System Capex!B7 - GPUs per module; 7. System Opex!B7 - GPUs per module</t>
        </is>
      </c>
    </row>
    <row r="40">
      <c r="A40" s="31" t="inlineStr">
        <is>
          <t>Actual module IT capacity (kW)</t>
        </is>
      </c>
      <c r="B40" s="30">
        <f>B37*B31</f>
        <v/>
      </c>
      <c r="C40" t="inlineStr">
        <is>
          <t>May differ slightly from target</t>
        </is>
      </c>
      <c r="F40" s="98" t="inlineStr">
        <is>
          <t>Define standardised module size for business model</t>
        </is>
      </c>
      <c r="G40" s="99" t="inlineStr">
        <is>
          <t>Calculated from upstream values for Actual module IT capacity (kW)</t>
        </is>
      </c>
      <c r="H40" s="99" t="inlineStr">
        <is>
          <t>0. Rack Profile!B43 - Captured heat (kWth); 0. Rack Profile!B45 - Residual heat to air (kWth); 0. Rack Profile!B68 - Heat delivered (MWh/yr); 1. Module Criteria!B5 - Module IT capacity (kW); 2. Module Capex!B9 - Module IT capacity (kW); 5. Buyer Profile!B8 - Module IT capacity (kW); 6. System Capex!B48 - Capex per IT kW (£/kW)</t>
        </is>
      </c>
    </row>
    <row r="41">
      <c r="F41" s="98" t="n"/>
      <c r="G41" s="99" t="n"/>
      <c r="H41" s="99" t="n"/>
    </row>
    <row r="42">
      <c r="A42" s="15" t="inlineStr">
        <is>
          <t>Heat Output</t>
        </is>
      </c>
      <c r="B42" s="15" t="n"/>
      <c r="C42" s="15" t="n"/>
      <c r="D42" s="15" t="n"/>
      <c r="E42" s="15" t="n"/>
      <c r="F42" s="97" t="inlineStr">
        <is>
          <t>Calculate annual heat sales volume</t>
        </is>
      </c>
      <c r="G42" s="97" t="n"/>
      <c r="H42" s="97" t="n"/>
    </row>
    <row r="43">
      <c r="A43" s="31" t="inlineStr">
        <is>
          <t>Captured heat (kWth)</t>
        </is>
      </c>
      <c r="B43" s="30">
        <f>B40*B20</f>
        <v/>
      </c>
      <c r="C43" t="inlineStr">
        <is>
          <t>Available for heat recovery</t>
        </is>
      </c>
      <c r="F43" s="98" t="inlineStr">
        <is>
          <t>Calculate heat available for sale to buyers</t>
        </is>
      </c>
      <c r="G43" s="99" t="inlineStr">
        <is>
          <t>Calculated from upstream values for Captured heat (kWth)</t>
        </is>
      </c>
      <c r="H43" s="99" t="inlineStr">
        <is>
          <t>0. Rack Profile!B69 - HP electricity (MWh/yr); 2. Module Capex!B10 - Captured heat (kWth)</t>
        </is>
      </c>
    </row>
    <row r="44">
      <c r="A44" s="31" t="inlineStr">
        <is>
          <t>Capture temperature (°C)</t>
        </is>
      </c>
      <c r="B44" s="31">
        <f>B21</f>
        <v/>
      </c>
      <c r="F44" s="98" t="inlineStr">
        <is>
          <t>Determine heat quality for buyer matching</t>
        </is>
      </c>
      <c r="G44" s="99" t="inlineStr">
        <is>
          <t>Formula: Capture temperature (°C)</t>
        </is>
      </c>
      <c r="H44" s="99" t="n"/>
    </row>
    <row r="45">
      <c r="A45" s="31" t="inlineStr">
        <is>
          <t>Residual heat to air (kWth)</t>
        </is>
      </c>
      <c r="B45" s="30">
        <f>B40*(1-B20)</f>
        <v/>
      </c>
      <c r="C45" t="inlineStr">
        <is>
          <t>Requires conventional cooling</t>
        </is>
      </c>
      <c r="F45" s="98" t="inlineStr">
        <is>
          <t>Identify heat requiring rejection (cost)</t>
        </is>
      </c>
      <c r="G45" s="99" t="inlineStr">
        <is>
          <t>Calculated from upstream values for Residual heat to air (kWth)</t>
        </is>
      </c>
      <c r="H45" s="99" t="n"/>
    </row>
    <row r="46">
      <c r="F46" s="98" t="n"/>
      <c r="G46" s="99" t="n"/>
      <c r="H46" s="99" t="n"/>
    </row>
    <row r="47">
      <c r="A47" s="15" t="inlineStr">
        <is>
          <t>HEAT RECOVERY ASSESSMENT</t>
        </is>
      </c>
      <c r="B47" s="15" t="n"/>
      <c r="C47" s="15" t="n"/>
      <c r="D47" s="15" t="n"/>
      <c r="E47" s="15" t="n"/>
      <c r="F47" s="97" t="n"/>
      <c r="G47" s="97" t="n"/>
      <c r="H47" s="97" t="n"/>
    </row>
    <row r="48">
      <c r="F48" s="98" t="n"/>
      <c r="G48" s="99" t="n"/>
      <c r="H48" s="99" t="n"/>
    </row>
    <row r="49">
      <c r="A49" s="31" t="inlineStr">
        <is>
          <t>Heat capture quality</t>
        </is>
      </c>
      <c r="B49" s="30">
        <f>IF(B21&gt;=55,"HIGH - Suitable for process heat",IF(B21&gt;=45,"MEDIUM - District heating suitable","LOW - Limited applications"))</f>
        <v/>
      </c>
      <c r="F49" s="98" t="inlineStr">
        <is>
          <t>Classify heat grade for buyer matching</t>
        </is>
      </c>
      <c r="G49" s="99" t="inlineStr">
        <is>
          <t>Conditional logic for Heat capture quality</t>
        </is>
      </c>
      <c r="H49" s="99" t="n"/>
    </row>
    <row r="50">
      <c r="A50" s="31" t="inlineStr">
        <is>
          <t>Heat pump requirement</t>
        </is>
      </c>
      <c r="B50" s="30">
        <f>IF(B21&gt;=70,"Optional - direct use possible",IF(B21&gt;=50,"Recommended for industrial use","Required for most applications"))</f>
        <v/>
      </c>
      <c r="F50" s="98" t="inlineStr">
        <is>
          <t>Determine if temperature boost needed for applications</t>
        </is>
      </c>
      <c r="G50" s="99" t="inlineStr">
        <is>
          <t>Conditional logic for Heat pump requirement</t>
        </is>
      </c>
      <c r="H50" s="99" t="inlineStr">
        <is>
          <t>0. Rack Profile!B52 - Estimated COP at recommended output</t>
        </is>
      </c>
    </row>
    <row r="51">
      <c r="A51" s="31" t="inlineStr">
        <is>
          <t>Recommended HP output (°C)</t>
        </is>
      </c>
      <c r="B51" s="31">
        <f>IF(B21&gt;=70,B21,IF(B21&gt;=50,90,80))</f>
        <v/>
      </c>
      <c r="F51" s="98" t="inlineStr">
        <is>
          <t>Model parameter</t>
        </is>
      </c>
      <c r="G51" s="99" t="inlineStr">
        <is>
          <t>Conditional logic for Recommended HP output (°C)</t>
        </is>
      </c>
      <c r="H51" s="99" t="inlineStr">
        <is>
          <t>0. Rack Profile!B52 - Estimated COP at recommended output; 0. Rack Profile!B57 - Target output temperature (°C)</t>
        </is>
      </c>
    </row>
    <row r="52">
      <c r="A52" s="31" t="inlineStr">
        <is>
          <t>Estimated COP at recommended output</t>
        </is>
      </c>
      <c r="B52" s="31">
        <f>IF(B50="Optional - direct use possible","-",MAX('11. Reference Data'!B111,MIN('11. Reference Data'!B112,ROUND('11. Reference Data'!B110*(B51+273.15)/(B51-B21),2))))</f>
        <v/>
      </c>
      <c r="C52" t="inlineStr">
        <is>
          <t>Carnot-based estimate</t>
        </is>
      </c>
      <c r="F52" s="98" t="inlineStr">
        <is>
          <t>Calculate heat pump efficiency for economics</t>
        </is>
      </c>
      <c r="G52" s="99" t="inlineStr">
        <is>
          <t>Conditional logic for Estimated COP at recommended output</t>
        </is>
      </c>
      <c r="H52" s="99" t="n"/>
    </row>
    <row r="53">
      <c r="F53" s="98" t="n"/>
      <c r="G53" s="99" t="n"/>
      <c r="H53" s="99" t="n"/>
    </row>
    <row r="54">
      <c r="A54" s="15" t="inlineStr">
        <is>
          <t>HEAT PUMP ECONOMICS</t>
        </is>
      </c>
      <c r="B54" s="15" t="n"/>
      <c r="C54" s="15" t="n"/>
      <c r="D54" s="15" t="n"/>
      <c r="E54" s="15" t="n"/>
      <c r="F54" s="97" t="n"/>
      <c r="G54" s="97" t="n"/>
      <c r="H54" s="97" t="n"/>
    </row>
    <row r="55">
      <c r="A55" s="31" t="inlineStr">
        <is>
          <t>Trade-off analysis: capture efficiency vs. HP operating cost</t>
        </is>
      </c>
      <c r="F55" s="98" t="inlineStr">
        <is>
          <t>Financial input or calculation</t>
        </is>
      </c>
      <c r="G55" s="99" t="inlineStr">
        <is>
          <t>Row label only</t>
        </is>
      </c>
      <c r="H55" s="99" t="n"/>
    </row>
    <row r="56">
      <c r="A56" s="4" t="n"/>
      <c r="B56" s="4" t="n"/>
      <c r="C56" s="4" t="n"/>
      <c r="D56" s="4" t="n"/>
      <c r="E56" s="4" t="n"/>
      <c r="F56" s="98" t="n"/>
      <c r="G56" s="99" t="n"/>
      <c r="H56" s="99" t="n"/>
    </row>
    <row r="57">
      <c r="A57" s="31" t="inlineStr">
        <is>
          <t>Target output temperature (°C)</t>
        </is>
      </c>
      <c r="B57" s="31">
        <f>B51</f>
        <v/>
      </c>
      <c r="C57" t="inlineStr">
        <is>
          <t>From heat recovery assessment</t>
        </is>
      </c>
      <c r="F57" s="98" t="inlineStr">
        <is>
          <t>Temperature parameter for thermal design</t>
        </is>
      </c>
      <c r="G57" s="99" t="inlineStr">
        <is>
          <t>Formula: Target output temperature (°C)</t>
        </is>
      </c>
      <c r="H57" s="99" t="inlineStr">
        <is>
          <t>0. Rack Profile!B60 - Temperature lift (K); 0. Rack Profile!B61 - COP at this lift</t>
        </is>
      </c>
    </row>
    <row r="58">
      <c r="A58" s="31" t="inlineStr">
        <is>
          <t>Electricity price (£/kWh)</t>
        </is>
      </c>
      <c r="B58" s="26" t="n">
        <v>0.18</v>
      </c>
      <c r="C58" t="inlineStr">
        <is>
          <t>Grid electricity rate</t>
        </is>
      </c>
      <c r="F58" s="98" t="inlineStr">
        <is>
          <t>Financial input or calculation</t>
        </is>
      </c>
      <c r="G58" s="99" t="inlineStr">
        <is>
          <t>Input parameter: Electricity price (£/kWh)</t>
        </is>
      </c>
      <c r="H58" s="99" t="inlineStr">
        <is>
          <t>0. Rack Profile!B64 - HP electricity cost (£/kWth·hr); 0. Rack Profile!B70 - HP electricity cost (£/yr)</t>
        </is>
      </c>
    </row>
    <row r="59">
      <c r="F59" s="98" t="n"/>
      <c r="G59" s="99" t="n"/>
      <c r="H59" s="99" t="n"/>
    </row>
    <row r="60">
      <c r="A60" s="31" t="inlineStr">
        <is>
          <t>Temperature lift (K)</t>
        </is>
      </c>
      <c r="B60" s="31">
        <f>B57-B21</f>
        <v/>
      </c>
      <c r="C60" t="inlineStr">
        <is>
          <t>Output temp - capture temp</t>
        </is>
      </c>
      <c r="F60" s="98" t="inlineStr">
        <is>
          <t>Define upgrade required from source to delivery temp</t>
        </is>
      </c>
      <c r="G60" s="99" t="inlineStr">
        <is>
          <t>Calculated from upstream values for Temperature lift (K)</t>
        </is>
      </c>
      <c r="H60" s="99" t="inlineStr">
        <is>
          <t>0. Rack Profile!B61 - COP at this lift</t>
        </is>
      </c>
    </row>
    <row r="61">
      <c r="A61" s="31" t="inlineStr">
        <is>
          <t>COP at this lift</t>
        </is>
      </c>
      <c r="B61" s="31">
        <f>IF(B60&lt;=0,"-",MAX('11. Reference Data'!B111,MIN('11. Reference Data'!B112,ROUND('11. Reference Data'!B110*(B57+273.15)/B60,2))))</f>
        <v/>
      </c>
      <c r="C61" t="inlineStr">
        <is>
          <t>Carnot-based estimate</t>
        </is>
      </c>
      <c r="F61" s="98" t="inlineStr">
        <is>
          <t>Calculate heat pump efficiency for economics</t>
        </is>
      </c>
      <c r="G61" s="99" t="inlineStr">
        <is>
          <t>Conditional logic for COP at this lift</t>
        </is>
      </c>
      <c r="H61" s="99" t="inlineStr">
        <is>
          <t>0. Rack Profile!B62 - HP electricity per kWth captured; 0. Rack Profile!B63 - Total heat output (per kW IT)</t>
        </is>
      </c>
    </row>
    <row r="62">
      <c r="A62" s="31" t="inlineStr">
        <is>
          <t>HP electricity per kWth captured</t>
        </is>
      </c>
      <c r="B62" s="35">
        <f>IF(B61="-","-",ROUND(1/(B61-1),3))</f>
        <v/>
      </c>
      <c r="C62" t="inlineStr">
        <is>
          <t>kWh elec per kWh heat lifted</t>
        </is>
      </c>
      <c r="F62" s="98" t="inlineStr">
        <is>
          <t>Model heat pump operating cost</t>
        </is>
      </c>
      <c r="G62" s="99" t="inlineStr">
        <is>
          <t>Conditional logic for HP electricity per kWth captured</t>
        </is>
      </c>
      <c r="H62" s="99" t="inlineStr">
        <is>
          <t>0. Rack Profile!B64 - HP electricity cost (£/kWth·hr); 0. Rack Profile!B69 - HP electricity (MWh/yr)</t>
        </is>
      </c>
    </row>
    <row r="63">
      <c r="A63" s="31" t="inlineStr">
        <is>
          <t>Total heat output (per kW IT)</t>
        </is>
      </c>
      <c r="B63" s="31">
        <f>IF(B61="-",B20,ROUND(B20*B61/(B61-1),3))</f>
        <v/>
      </c>
      <c r="C63" t="inlineStr">
        <is>
          <t>Captured × COP/(COP-1)</t>
        </is>
      </c>
      <c r="F63" s="98" t="inlineStr">
        <is>
          <t>Calculate annual heat sales volume</t>
        </is>
      </c>
      <c r="G63" s="99" t="inlineStr">
        <is>
          <t>Conditional logic for Total heat output (per kW IT)</t>
        </is>
      </c>
      <c r="H63" s="99" t="inlineStr">
        <is>
          <t>0. Rack Profile!B68 - Heat delivered (MWh/yr)</t>
        </is>
      </c>
    </row>
    <row r="64">
      <c r="A64" s="31" t="inlineStr">
        <is>
          <t>HP electricity cost (£/kWth·hr)</t>
        </is>
      </c>
      <c r="B64" s="36">
        <f>IF(B62="-","-",ROUND(B62*B58,4))</f>
        <v/>
      </c>
      <c r="C64" t="inlineStr">
        <is>
          <t>Marginal cost to deliver heat</t>
        </is>
      </c>
      <c r="F64" s="98" t="inlineStr">
        <is>
          <t>Model heat pump operating cost</t>
        </is>
      </c>
      <c r="G64" s="99" t="inlineStr">
        <is>
          <t>Conditional logic for HP electricity cost (£/kWth·hr)</t>
        </is>
      </c>
      <c r="H64" s="99" t="n"/>
    </row>
    <row r="65">
      <c r="F65" s="98" t="n"/>
      <c r="G65" s="99" t="n"/>
      <c r="H65" s="99" t="n"/>
    </row>
    <row r="66">
      <c r="A66" s="41" t="inlineStr">
        <is>
          <t>Module Annual Analysis</t>
        </is>
      </c>
      <c r="B66" s="19" t="n"/>
      <c r="C66" s="19" t="n"/>
      <c r="D66" s="19" t="n"/>
      <c r="E66" s="19" t="n"/>
      <c r="F66" s="94" t="inlineStr">
        <is>
          <t>Model parameter</t>
        </is>
      </c>
      <c r="G66" s="94" t="inlineStr">
        <is>
          <t>Row label only</t>
        </is>
      </c>
      <c r="H66" s="94" t="n"/>
    </row>
    <row r="67">
      <c r="A67" s="31" t="inlineStr">
        <is>
          <t>Annual operating hours</t>
        </is>
      </c>
      <c r="B67" s="27" t="n">
        <v>8000</v>
      </c>
      <c r="C67" t="inlineStr">
        <is>
          <t>Typical utilisation</t>
        </is>
      </c>
      <c r="F67" s="98" t="inlineStr">
        <is>
          <t>Model parameter</t>
        </is>
      </c>
      <c r="G67" s="99" t="inlineStr">
        <is>
          <t>Input assumption: Annual operating hours</t>
        </is>
      </c>
      <c r="H67" s="99" t="inlineStr">
        <is>
          <t>0. Rack Profile!B68 - Heat delivered (MWh/yr); 0. Rack Profile!B69 - HP electricity (MWh/yr)</t>
        </is>
      </c>
    </row>
    <row r="68">
      <c r="A68" s="31" t="inlineStr">
        <is>
          <t>Heat delivered (MWh/yr)</t>
        </is>
      </c>
      <c r="B68" s="30">
        <f>IF(B63="-","-",ROUND(B40*B63*B67/1000,0))</f>
        <v/>
      </c>
      <c r="C68" t="inlineStr">
        <is>
          <t>Per module</t>
        </is>
      </c>
      <c r="F68" s="98" t="inlineStr">
        <is>
          <t>Calculate annual heat sales volume</t>
        </is>
      </c>
      <c r="G68" s="99" t="inlineStr">
        <is>
          <t>Conditional logic for Heat delivered (MWh/yr)</t>
        </is>
      </c>
      <c r="H68" s="99" t="n"/>
    </row>
    <row r="69">
      <c r="A69" s="31" t="inlineStr">
        <is>
          <t>HP electricity (MWh/yr)</t>
        </is>
      </c>
      <c r="B69" s="30">
        <f>IF(B62="-",0,ROUND(B43*B62*B67/1000,0))</f>
        <v/>
      </c>
      <c r="C69" t="inlineStr">
        <is>
          <t>Per module</t>
        </is>
      </c>
      <c r="F69" s="98" t="inlineStr">
        <is>
          <t>Model heat pump operating cost</t>
        </is>
      </c>
      <c r="G69" s="99" t="inlineStr">
        <is>
          <t>Conditional logic for HP electricity (MWh/yr)</t>
        </is>
      </c>
      <c r="H69" s="99" t="inlineStr">
        <is>
          <t>0. Rack Profile!B70 - HP electricity cost (£/yr)</t>
        </is>
      </c>
    </row>
    <row r="70">
      <c r="A70" s="31" t="inlineStr">
        <is>
          <t>HP electricity cost (£/yr)</t>
        </is>
      </c>
      <c r="B70" s="37">
        <f>B69*1000*B58</f>
        <v/>
      </c>
      <c r="C70" t="inlineStr">
        <is>
          <t>Per module</t>
        </is>
      </c>
      <c r="F70" s="98" t="inlineStr">
        <is>
          <t>Model heat pump operating cost</t>
        </is>
      </c>
      <c r="G70" s="99" t="inlineStr">
        <is>
          <t>Calculated from upstream values for HP electricity cost (£/yr)</t>
        </is>
      </c>
      <c r="H70" s="99" t="n"/>
    </row>
    <row r="71">
      <c r="F71" s="98" t="n"/>
      <c r="G71" s="99" t="n"/>
      <c r="H71" s="99" t="n"/>
    </row>
    <row r="72">
      <c r="F72" s="98" t="n"/>
      <c r="G72" s="99" t="n"/>
      <c r="H72" s="99" t="n"/>
    </row>
    <row r="73">
      <c r="A73" s="15" t="inlineStr">
        <is>
          <t>COOLING METHOD COMPARISON</t>
        </is>
      </c>
      <c r="B73" s="49" t="n"/>
      <c r="C73" s="49" t="n"/>
      <c r="D73" s="49" t="n"/>
      <c r="E73" s="49" t="n"/>
      <c r="F73" s="97" t="n"/>
      <c r="G73" s="97" t="n"/>
      <c r="H73" s="97" t="n"/>
    </row>
    <row r="74">
      <c r="F74" s="98" t="n"/>
      <c r="G74" s="99" t="n"/>
      <c r="H74" s="99" t="n"/>
    </row>
    <row r="75">
      <c r="A75" s="41" t="inlineStr">
        <is>
          <t>Method</t>
        </is>
      </c>
      <c r="B75" s="41" t="inlineStr">
        <is>
          <t>Capture %</t>
        </is>
      </c>
      <c r="C75" s="41" t="inlineStr">
        <is>
          <t>Temp °C</t>
        </is>
      </c>
      <c r="D75" s="41" t="inlineStr">
        <is>
          <t>Lift to 90°C</t>
        </is>
      </c>
      <c r="E75" s="41" t="inlineStr">
        <is>
          <t>COP</t>
        </is>
      </c>
      <c r="F75" s="94" t="inlineStr">
        <is>
          <t>Model parameter</t>
        </is>
      </c>
      <c r="G75" s="94" t="inlineStr">
        <is>
          <t>Text value for Method</t>
        </is>
      </c>
      <c r="H75" s="94" t="inlineStr">
        <is>
          <t>Heat out/kW IT</t>
        </is>
      </c>
    </row>
    <row r="76">
      <c r="A76" s="31" t="inlineStr">
        <is>
          <t>Direct-to-Chip (DTC)</t>
        </is>
      </c>
      <c r="B76" t="inlineStr">
        <is>
          <t>75%</t>
        </is>
      </c>
      <c r="C76" s="27" t="n">
        <v>57.5</v>
      </c>
      <c r="D76" t="inlineStr">
        <is>
          <t>32.5K</t>
        </is>
      </c>
      <c r="E76" s="27" t="n">
        <v>4.4</v>
      </c>
      <c r="F76" s="98" t="inlineStr">
        <is>
          <t>Model parameter</t>
        </is>
      </c>
      <c r="G76" s="99" t="inlineStr">
        <is>
          <t>Text value for Direct-to-Chip (DTC)</t>
        </is>
      </c>
      <c r="H76" s="99" t="inlineStr">
        <is>
          <t>97%</t>
        </is>
      </c>
    </row>
    <row r="77">
      <c r="A77" s="31" t="inlineStr">
        <is>
          <t>Single-Phase Immersion</t>
        </is>
      </c>
      <c r="B77" t="inlineStr">
        <is>
          <t>95%</t>
        </is>
      </c>
      <c r="C77" s="27" t="n">
        <v>50</v>
      </c>
      <c r="D77" t="inlineStr">
        <is>
          <t>40K</t>
        </is>
      </c>
      <c r="E77" s="27" t="n">
        <v>3.8</v>
      </c>
      <c r="F77" s="98" t="inlineStr">
        <is>
          <t>Model parameter</t>
        </is>
      </c>
      <c r="G77" s="99" t="inlineStr">
        <is>
          <t>Text value for Single-Phase Immersion</t>
        </is>
      </c>
      <c r="H77" s="99" t="inlineStr">
        <is>
          <t>128%</t>
        </is>
      </c>
    </row>
    <row r="78">
      <c r="A78" s="31" t="inlineStr">
        <is>
          <t>Two-Phase Immersion</t>
        </is>
      </c>
      <c r="B78" t="inlineStr">
        <is>
          <t>98%</t>
        </is>
      </c>
      <c r="C78" s="27" t="n">
        <v>55</v>
      </c>
      <c r="D78" t="inlineStr">
        <is>
          <t>35K</t>
        </is>
      </c>
      <c r="E78" s="27" t="n">
        <v>4.2</v>
      </c>
      <c r="F78" s="98" t="inlineStr">
        <is>
          <t>Model parameter</t>
        </is>
      </c>
      <c r="G78" s="99" t="inlineStr">
        <is>
          <t>Text value for Two-Phase Immersion</t>
        </is>
      </c>
      <c r="H78" s="99" t="inlineStr">
        <is>
          <t>128%</t>
        </is>
      </c>
    </row>
    <row r="79">
      <c r="A79" s="31" t="inlineStr">
        <is>
          <t>Rear Door Heat Exchanger</t>
        </is>
      </c>
      <c r="B79" t="inlineStr">
        <is>
          <t>50%</t>
        </is>
      </c>
      <c r="C79" s="27" t="n">
        <v>45</v>
      </c>
      <c r="D79" t="inlineStr">
        <is>
          <t>45K</t>
        </is>
      </c>
      <c r="E79" s="27" t="n">
        <v>3.4</v>
      </c>
      <c r="F79" s="98" t="inlineStr">
        <is>
          <t>Model parameter</t>
        </is>
      </c>
      <c r="G79" s="99" t="inlineStr">
        <is>
          <t>Text value for Rear Door Heat Exchanger</t>
        </is>
      </c>
      <c r="H79" s="99" t="inlineStr">
        <is>
          <t>70%</t>
        </is>
      </c>
    </row>
    <row r="80">
      <c r="F80" s="98" t="n"/>
      <c r="G80" s="99" t="n"/>
      <c r="H80" s="99" t="n"/>
    </row>
    <row r="81">
      <c r="A81" s="41" t="inlineStr">
        <is>
          <t>KEY INSIGHT:</t>
        </is>
      </c>
      <c r="B81" s="17" t="n"/>
      <c r="C81" s="17" t="n"/>
      <c r="D81" s="17" t="n"/>
      <c r="E81" s="17" t="n"/>
      <c r="F81" s="94" t="n"/>
      <c r="G81" s="94" t="inlineStr">
        <is>
          <t>Row label only</t>
        </is>
      </c>
      <c r="H81" s="94" t="n"/>
    </row>
    <row r="82">
      <c r="A82" s="31" t="inlineStr">
        <is>
          <t>Immersion captures more heat but requires more HP electricity due to lower capture temperature.</t>
        </is>
      </c>
      <c r="F82" s="98" t="inlineStr">
        <is>
          <t>Determine heat quality for buyer matching</t>
        </is>
      </c>
      <c r="G82" s="99" t="inlineStr">
        <is>
          <t>Row label only</t>
        </is>
      </c>
      <c r="H82" s="99" t="n"/>
    </row>
    <row r="83">
      <c r="A83" s="31" t="inlineStr">
        <is>
          <t>DTC offers the best balance of capture efficiency and HP operating cost for high-temp applications.</t>
        </is>
      </c>
      <c r="F83" s="98" t="inlineStr">
        <is>
          <t>Financial input or calculation</t>
        </is>
      </c>
      <c r="G83" s="99" t="inlineStr">
        <is>
          <t>Row label only</t>
        </is>
      </c>
      <c r="H83" s="99" t="n"/>
    </row>
  </sheetData>
  <dataValidations count="2">
    <dataValidation sqref="B6" showDropDown="0" showInputMessage="0" showErrorMessage="0" allowBlank="1" type="list">
      <formula1>"NVIDIA H100,NVIDIA H200,NVIDIA B200,AMD MI300X,Intel Gaudi 3,Custom/Other"</formula1>
    </dataValidation>
    <dataValidation sqref="B17" showDropDown="0" showInputMessage="0" showErrorMessage="0" allowBlank="1" type="list">
      <formula1>"Direct-to-Chip (DTC),Single-Phase Immersion,Two-Phase Immersion,Rear Door Heat Exchanger,Air Cooled (Reference)"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10" defaultColWidth="8.83203125" defaultRowHeight="15"/>
  <cols>
    <col width="38" customWidth="1" min="1" max="1"/>
    <col width="15" customWidth="1" min="2" max="2"/>
    <col width="12" customWidth="1" min="3" max="3"/>
    <col width="45" customWidth="1" min="4" max="4"/>
    <col width="45" customWidth="1" min="6" max="6"/>
    <col width="50" customWidth="1" min="7" max="7"/>
    <col width="60" customWidth="1" min="8" max="8"/>
  </cols>
  <sheetData>
    <row r="1">
      <c r="A1" s="15" t="inlineStr">
        <is>
          <t>MODULE CRITERIA</t>
        </is>
      </c>
      <c r="B1" s="15" t="n"/>
      <c r="C1" s="15" t="n"/>
      <c r="D1" s="15" t="n"/>
      <c r="E1" s="15" t="n"/>
      <c r="F1" s="97" t="inlineStr">
        <is>
          <t>Intent</t>
        </is>
      </c>
      <c r="G1" s="97" t="inlineStr">
        <is>
          <t>Explanation</t>
        </is>
      </c>
      <c r="H1" s="97" t="inlineStr">
        <is>
          <t>Dependents</t>
        </is>
      </c>
    </row>
    <row r="2">
      <c r="A2" s="31" t="inlineStr">
        <is>
          <t>Hardware specifications and configuration for a single digital boiler module</t>
        </is>
      </c>
      <c r="F2" s="98" t="inlineStr">
        <is>
          <t>Model parameter</t>
        </is>
      </c>
      <c r="G2" s="99" t="inlineStr">
        <is>
          <t>Row label only</t>
        </is>
      </c>
      <c r="H2" s="99" t="n"/>
    </row>
    <row r="3">
      <c r="F3" s="98" t="n"/>
      <c r="G3" s="99" t="n"/>
      <c r="H3" s="99" t="n"/>
    </row>
    <row r="4">
      <c r="A4" s="15" t="inlineStr">
        <is>
          <t>COMPUTE SPECIFICATIONS</t>
        </is>
      </c>
      <c r="B4" s="15" t="n"/>
      <c r="C4" s="15" t="n"/>
      <c r="D4" s="15" t="n"/>
      <c r="E4" s="15" t="n"/>
      <c r="F4" s="97" t="n"/>
      <c r="G4" s="97" t="n"/>
      <c r="H4" s="97" t="n"/>
    </row>
    <row r="5">
      <c r="A5" s="31" t="inlineStr">
        <is>
          <t>Module IT capacity (kW)</t>
        </is>
      </c>
      <c r="B5" s="30">
        <f>'0. Rack Profile'!B40</f>
        <v/>
      </c>
      <c r="C5" t="inlineStr">
        <is>
          <t>From Rack Profile (actual)</t>
        </is>
      </c>
      <c r="D5" t="inlineStr">
        <is>
          <t>Standard MDC module size</t>
        </is>
      </c>
      <c r="F5" s="98" t="inlineStr">
        <is>
          <t>Pull standardised module size for consistent sizing</t>
        </is>
      </c>
      <c r="G5" s="99" t="inlineStr">
        <is>
          <t>Pulls value from 0. Rack Profile!B40</t>
        </is>
      </c>
      <c r="H5" s="99" t="inlineStr">
        <is>
          <t>1. Module Criteria!B11 - Captured heat (kWth); 3. Module Opex!B7 - Infrastructure power cost (£/yr); 5. Buyer Profile!B65 - Total IT capacity (kW); 9. System P&amp;L!B12 - Module IT capacity (kW)</t>
        </is>
      </c>
    </row>
    <row r="6">
      <c r="A6" s="31" t="inlineStr">
        <is>
          <t>Compute rate (£/kW/month)</t>
        </is>
      </c>
      <c r="B6" s="28" t="n">
        <v>150</v>
      </c>
      <c r="D6" t="inlineStr">
        <is>
          <t>Colocation pricing</t>
        </is>
      </c>
      <c r="F6" s="98" t="inlineStr">
        <is>
          <t>Financial input or calculation</t>
        </is>
      </c>
      <c r="G6" s="99" t="inlineStr">
        <is>
          <t>Input parameter: Compute rate (£/kW/month)</t>
        </is>
      </c>
      <c r="H6" s="99" t="inlineStr">
        <is>
          <t>9. System P&amp;L!B13 - Rack rate (£/kW/month)</t>
        </is>
      </c>
    </row>
    <row r="7">
      <c r="A7" s="31" t="inlineStr">
        <is>
          <t>Target utilisation rate (%)</t>
        </is>
      </c>
      <c r="B7" s="29" t="n">
        <v>0.9</v>
      </c>
      <c r="D7" t="inlineStr">
        <is>
          <t>Steady-state capacity utilisation</t>
        </is>
      </c>
      <c r="F7" s="98" t="inlineStr">
        <is>
          <t>Model realistic capacity usage for revenue</t>
        </is>
      </c>
      <c r="G7" s="99" t="inlineStr">
        <is>
          <t>Input parameter: Target utilisation rate (%)</t>
        </is>
      </c>
      <c r="H7" s="99" t="inlineStr">
        <is>
          <t>1. Module Criteria!B24 - Annual heat output (MWh); 3. Module Opex!B7 - Infrastructure power cost (£/yr); 3. Module Opex!B9 - Heat pump electricity (£/yr); 5. Buyer Profile!B92 - Cooling infrastructure (kW); 9. System P&amp;L!B15 - Utilisation assumption (%)</t>
        </is>
      </c>
    </row>
    <row r="8">
      <c r="F8" s="98" t="n"/>
      <c r="G8" s="99" t="n"/>
      <c r="H8" s="99" t="n"/>
    </row>
    <row r="9">
      <c r="A9" s="15" t="inlineStr">
        <is>
          <t>HEAT CAPTURE SPECIFICATIONS</t>
        </is>
      </c>
      <c r="B9" s="15" t="n"/>
      <c r="C9" s="15" t="n"/>
      <c r="D9" s="15" t="n"/>
      <c r="E9" s="15" t="n"/>
      <c r="F9" s="97" t="n"/>
      <c r="G9" s="97" t="n"/>
      <c r="H9" s="97" t="n"/>
    </row>
    <row r="10">
      <c r="A10" s="31" t="inlineStr">
        <is>
          <t>Heat capture rate (%)</t>
        </is>
      </c>
      <c r="B10" s="34">
        <f>'0. Rack Profile'!B20</f>
        <v/>
      </c>
      <c r="C10" t="inlineStr">
        <is>
          <t>From Rack Profile (cooling method)</t>
        </is>
      </c>
      <c r="D10" t="inlineStr">
        <is>
          <t>% of IT load captured via DTC cooling</t>
        </is>
      </c>
      <c r="F10" s="98" t="inlineStr">
        <is>
          <t>Reference thermal specifications from rack design</t>
        </is>
      </c>
      <c r="G10" s="99" t="inlineStr">
        <is>
          <t>Pulls value from 0. Rack Profile!B20</t>
        </is>
      </c>
      <c r="H10" s="99" t="inlineStr">
        <is>
          <t>1. Module Criteria!B11 - Captured heat (kWth)</t>
        </is>
      </c>
    </row>
    <row r="11">
      <c r="A11" s="31" t="inlineStr">
        <is>
          <t>Captured heat (kWth)</t>
        </is>
      </c>
      <c r="B11" s="30">
        <f>B5*B10</f>
        <v/>
      </c>
      <c r="D11" t="inlineStr">
        <is>
          <t>Thermal output without heat pump</t>
        </is>
      </c>
      <c r="F11" s="98" t="inlineStr">
        <is>
          <t>Power or thermal capacity metric</t>
        </is>
      </c>
      <c r="G11" s="99" t="inlineStr">
        <is>
          <t>Calculated from upstream values for Captured heat (kWth)</t>
        </is>
      </c>
      <c r="H11" s="99" t="inlineStr">
        <is>
          <t>1. Module Criteria!B18 - Heat pump capacity (kWth); 1. Module Criteria!B21 - Thermal output (kWth); 4. Module Flow!B9 - Thermal power (kWth)</t>
        </is>
      </c>
    </row>
    <row r="12">
      <c r="A12" s="31" t="inlineStr">
        <is>
          <t>Capture temperature (°C)</t>
        </is>
      </c>
      <c r="B12" s="31">
        <f>'0. Rack Profile'!B21</f>
        <v/>
      </c>
      <c r="C12" t="inlineStr">
        <is>
          <t>From Rack Profile (cooling method)</t>
        </is>
      </c>
      <c r="D12" t="inlineStr">
        <is>
          <t>DTC cooling loop output temperature</t>
        </is>
      </c>
      <c r="F12" s="98" t="inlineStr">
        <is>
          <t>Temperature parameter for thermal design</t>
        </is>
      </c>
      <c r="G12" s="99" t="inlineStr">
        <is>
          <t>Pulls value from 0. Rack Profile!B21</t>
        </is>
      </c>
      <c r="H12" s="99" t="inlineStr">
        <is>
          <t>1. Module Criteria!B17 - Heat pump COP; 1. Module Criteria!B22 - Delivery temperature (°C); 4. Module Flow!B10 - Inlet temperature (°C); 5. Buyer Profile!B69 - Heat pump required?; 5. Buyer Profile!B70 - Temperature lift required (K)</t>
        </is>
      </c>
    </row>
    <row r="13">
      <c r="F13" s="98" t="n"/>
      <c r="G13" s="99" t="n"/>
      <c r="H13" s="99" t="n"/>
    </row>
    <row r="14">
      <c r="A14" s="15" t="inlineStr">
        <is>
          <t>HEAT PUMP CONFIGURATION</t>
        </is>
      </c>
      <c r="B14" s="15" t="n"/>
      <c r="C14" s="15" t="n"/>
      <c r="D14" s="15" t="n"/>
      <c r="E14" s="15" t="n"/>
      <c r="F14" s="97" t="n"/>
      <c r="G14" s="97" t="n"/>
      <c r="H14" s="97" t="n"/>
    </row>
    <row r="15">
      <c r="A15" s="31" t="inlineStr">
        <is>
          <t>Heat pump enabled?</t>
        </is>
      </c>
      <c r="B15" s="25" t="n">
        <v>1</v>
      </c>
      <c r="D15" t="inlineStr">
        <is>
          <t>1 = Yes, 0 = No</t>
        </is>
      </c>
      <c r="F15" s="98" t="inlineStr">
        <is>
          <t>Toggle heat pump for scenario analysis</t>
        </is>
      </c>
      <c r="G15" s="99" t="inlineStr">
        <is>
          <t>Flag enabled for Heat pump enabled?</t>
        </is>
      </c>
      <c r="H15" s="99" t="inlineStr">
        <is>
          <t>1. Module Criteria!B17 - Heat pump COP; 1. Module Criteria!B21 - Thermal output (kWth); 1. Module Criteria!B22 - Delivery temperature (°C); 1. Module Criteria!B29 - Effective heat price (£/MWh); 2. Module Capex!B53 - Heat pump unit; 2. Module Capex!B54 - Heat pump installation; 2. Module Capex!B55 - Heat pump controls; 3. Module Opex!B9 - Heat pump electricity (£/yr); 3. Module Opex!B18 - Heat pump maintenance (£/yr)</t>
        </is>
      </c>
    </row>
    <row r="16">
      <c r="A16" s="31" t="inlineStr">
        <is>
          <t>Heat pump output temperature (°C)</t>
        </is>
      </c>
      <c r="B16" s="25" t="n">
        <v>90</v>
      </c>
      <c r="D16" t="inlineStr">
        <is>
          <t>Delivery temperature to industrial partner</t>
        </is>
      </c>
      <c r="F16" s="98" t="inlineStr">
        <is>
          <t>Temperature parameter for thermal design</t>
        </is>
      </c>
      <c r="G16" s="99" t="inlineStr">
        <is>
          <t>Input parameter: Heat pump output temperature (°C)</t>
        </is>
      </c>
      <c r="H16" s="99" t="inlineStr">
        <is>
          <t>1. Module Criteria!B17 - Heat pump COP; 1. Module Criteria!B22 - Delivery temperature (°C)</t>
        </is>
      </c>
    </row>
    <row r="17">
      <c r="A17" s="31" t="inlineStr">
        <is>
          <t>Heat pump COP</t>
        </is>
      </c>
      <c r="B17" s="30">
        <f>IF(B15=0,"-",MAX('11. Reference Data'!B111,MIN('11. Reference Data'!B112,ROUND('11. Reference Data'!B110*(B16+273.15)/(B16-B12),2))))</f>
        <v/>
      </c>
      <c r="D17" t="inlineStr">
        <is>
          <t>Carnot-based: η × T_hot(K) / ΔT</t>
        </is>
      </c>
      <c r="F17" s="98" t="inlineStr">
        <is>
          <t>Calculate heat pump efficiency at operating conditions</t>
        </is>
      </c>
      <c r="G17" s="99" t="inlineStr">
        <is>
          <t>Conditional logic for Heat pump COP</t>
        </is>
      </c>
      <c r="H17" s="99" t="inlineStr">
        <is>
          <t>1. Module Criteria!B21 - Thermal output (kWth); 3. Module Opex!B9 - Heat pump electricity (£/yr); 5. Buyer Profile!B73 - HP electrical demand (kW)</t>
        </is>
      </c>
    </row>
    <row r="18">
      <c r="A18" s="31" t="inlineStr">
        <is>
          <t>Heat pump capacity (kWth)</t>
        </is>
      </c>
      <c r="B18" s="30">
        <f>B11</f>
        <v/>
      </c>
      <c r="D18" t="inlineStr">
        <is>
          <t>Sized to captured heat</t>
        </is>
      </c>
      <c r="F18" s="98" t="inlineStr">
        <is>
          <t>Define or calculate system capability</t>
        </is>
      </c>
      <c r="G18" s="99" t="inlineStr">
        <is>
          <t>Formula: Heat pump capacity (kWth)</t>
        </is>
      </c>
      <c r="H18" s="99" t="inlineStr">
        <is>
          <t>2. Module Capex!B53 - Heat pump unit; 5. Buyer Profile!B72 - Total HP capacity (kWth)</t>
        </is>
      </c>
    </row>
    <row r="19">
      <c r="F19" s="98" t="n"/>
      <c r="G19" s="99" t="n"/>
      <c r="H19" s="99" t="n"/>
    </row>
    <row r="20">
      <c r="A20" s="15" t="inlineStr">
        <is>
          <t>MODULE OUTPUT SUMMARY</t>
        </is>
      </c>
      <c r="B20" s="15" t="n"/>
      <c r="C20" s="15" t="n"/>
      <c r="D20" s="15" t="n"/>
      <c r="E20" s="15" t="n"/>
      <c r="F20" s="97" t="n"/>
      <c r="G20" s="97" t="n"/>
      <c r="H20" s="97" t="n"/>
    </row>
    <row r="21">
      <c r="A21" s="31" t="inlineStr">
        <is>
          <t>Thermal output (kWth)</t>
        </is>
      </c>
      <c r="B21" s="30">
        <f>IF(B15=1,IF(B17&lt;=1,B11,B11*B17/(B17-1)),B11)</f>
        <v/>
      </c>
      <c r="D21" t="inlineStr">
        <is>
          <t>With HP: includes compressor work (COP protected)</t>
        </is>
      </c>
      <c r="F21" s="98" t="inlineStr">
        <is>
          <t>Calculate total heat delivery including HP boost</t>
        </is>
      </c>
      <c r="G21" s="99" t="inlineStr">
        <is>
          <t>Conditional logic for Thermal output (kWth)</t>
        </is>
      </c>
      <c r="H21" s="99" t="inlineStr">
        <is>
          <t>1. Module Criteria!B24 - Annual heat output (MWh); 3. Module Opex!B9 - Heat pump electricity (£/yr); 4. Module Flow!B19 - Thermal power delivered (kWth); 5. Buyer Profile!B28 - Module thermal capacity (kWth)</t>
        </is>
      </c>
    </row>
    <row r="22">
      <c r="A22" s="31" t="inlineStr">
        <is>
          <t>Delivery temperature (°C)</t>
        </is>
      </c>
      <c r="B22" s="30">
        <f>IF(B15=1,B16,B12)</f>
        <v/>
      </c>
      <c r="F22" s="98" t="inlineStr">
        <is>
          <t>Set required output temperature for buyer</t>
        </is>
      </c>
      <c r="G22" s="99" t="inlineStr">
        <is>
          <t>Conditional logic for Delivery temperature (°C)</t>
        </is>
      </c>
      <c r="H22" s="99" t="inlineStr">
        <is>
          <t>4. Module Flow!B20 - Outlet temperature (°C); 5. Buyer Profile!B29 - Module delivery temp (°C); 8. System Flow!B20 - Delivery temperature (°C)</t>
        </is>
      </c>
    </row>
    <row r="23">
      <c r="A23" s="31" t="inlineStr">
        <is>
          <t>Hours per year</t>
        </is>
      </c>
      <c r="B23" s="25" t="n">
        <v>8760</v>
      </c>
      <c r="D23" t="inlineStr">
        <is>
          <t>24/7 operation</t>
        </is>
      </c>
      <c r="F23" s="98" t="inlineStr">
        <is>
          <t>Model parameter</t>
        </is>
      </c>
      <c r="G23" s="99" t="inlineStr">
        <is>
          <t>Input assumption: Hours per year</t>
        </is>
      </c>
      <c r="H23" s="99" t="inlineStr">
        <is>
          <t>1. Module Criteria!B24 - Annual heat output (MWh); 3. Module Opex!B7 - Infrastructure power cost (£/yr); 3. Module Opex!B9 - Heat pump electricity (£/yr)</t>
        </is>
      </c>
    </row>
    <row r="24">
      <c r="A24" s="31" t="inlineStr">
        <is>
          <t>Annual heat output (MWh)</t>
        </is>
      </c>
      <c r="B24" s="30">
        <f>B21*B23*B7/1000</f>
        <v/>
      </c>
      <c r="F24" s="98" t="inlineStr">
        <is>
          <t>Convert to annual volume for revenue calculation</t>
        </is>
      </c>
      <c r="G24" s="99" t="inlineStr">
        <is>
          <t>Calculated from upstream values for Annual heat output (MWh)</t>
        </is>
      </c>
      <c r="H24" s="99" t="n"/>
    </row>
    <row r="25">
      <c r="F25" s="98" t="n"/>
      <c r="G25" s="99" t="n"/>
      <c r="H25" s="99" t="n"/>
    </row>
    <row r="26">
      <c r="A26" s="15" t="inlineStr">
        <is>
          <t>HEAT PRICING</t>
        </is>
      </c>
      <c r="B26" s="15" t="n"/>
      <c r="C26" s="15" t="n"/>
      <c r="D26" s="15" t="n"/>
      <c r="E26" s="15" t="n"/>
      <c r="F26" s="97" t="n"/>
      <c r="G26" s="97" t="n"/>
      <c r="H26" s="97" t="n"/>
    </row>
    <row r="27">
      <c r="A27" s="31" t="inlineStr">
        <is>
          <t>Base heat price - no HP (£/MWh)</t>
        </is>
      </c>
      <c r="B27" s="28" t="n">
        <v>25</v>
      </c>
      <c r="D27" t="inlineStr">
        <is>
          <t>Low-temp heat (55-60°C)</t>
        </is>
      </c>
      <c r="F27" s="98" t="inlineStr">
        <is>
          <t>Set heat sales price assumption</t>
        </is>
      </c>
      <c r="G27" s="99" t="inlineStr">
        <is>
          <t>Input parameter: Base heat price - no HP (£/MWh)</t>
        </is>
      </c>
      <c r="H27" s="99" t="inlineStr">
        <is>
          <t>1. Module Criteria!B29 - Effective heat price (£/MWh)</t>
        </is>
      </c>
    </row>
    <row r="28">
      <c r="A28" s="31" t="inlineStr">
        <is>
          <t>Premium heat price - with HP (£/MWh)</t>
        </is>
      </c>
      <c r="B28" s="28" t="n">
        <v>40</v>
      </c>
      <c r="D28" t="inlineStr">
        <is>
          <t>High-temp heat (90°C)</t>
        </is>
      </c>
      <c r="F28" s="98" t="inlineStr">
        <is>
          <t>Set heat sales price assumption</t>
        </is>
      </c>
      <c r="G28" s="99" t="inlineStr">
        <is>
          <t>Input parameter: Premium heat price - with HP (£/MWh)</t>
        </is>
      </c>
      <c r="H28" s="99" t="inlineStr">
        <is>
          <t>1. Module Criteria!B29 - Effective heat price (£/MWh)</t>
        </is>
      </c>
    </row>
    <row r="29">
      <c r="A29" s="31" t="inlineStr">
        <is>
          <t>Effective heat price (£/MWh)</t>
        </is>
      </c>
      <c r="B29" s="37">
        <f>IF(B15=1,B28,B27)</f>
        <v/>
      </c>
      <c r="F29" s="98" t="inlineStr">
        <is>
          <t>Set heat sales price assumption</t>
        </is>
      </c>
      <c r="G29" s="99" t="inlineStr">
        <is>
          <t>Conditional logic for Effective heat price (£/MWh)</t>
        </is>
      </c>
      <c r="H29" s="99" t="inlineStr">
        <is>
          <t>9. System P&amp;L!B20 - Heat price (£/MWh)</t>
        </is>
      </c>
    </row>
    <row r="30">
      <c r="A30" s="31" t="inlineStr">
        <is>
          <t>Reference: Industrial gas price (£/MWh)</t>
        </is>
      </c>
      <c r="B30" s="28" t="n">
        <v>53</v>
      </c>
      <c r="D30" t="inlineStr">
        <is>
          <t>UK industrial gas benchmark</t>
        </is>
      </c>
      <c r="F30" s="98" t="inlineStr">
        <is>
          <t>Financial input or calculation</t>
        </is>
      </c>
      <c r="G30" s="99" t="inlineStr">
        <is>
          <t>Input parameter: Reference: Industrial gas price (£/MWh)</t>
        </is>
      </c>
      <c r="H30" s="9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9"/>
  <sheetViews>
    <sheetView topLeftCell="A32" workbookViewId="0">
      <selection activeCell="A1" sqref="A1"/>
    </sheetView>
  </sheetViews>
  <sheetFormatPr baseColWidth="10" defaultColWidth="8.83203125" defaultRowHeight="15"/>
  <cols>
    <col width="38" customWidth="1" min="1" max="1"/>
    <col width="15" customWidth="1" min="2" max="2"/>
    <col width="12" customWidth="1" min="3" max="3"/>
    <col width="45" customWidth="1" min="4" max="4"/>
    <col width="45" customWidth="1" min="6" max="6"/>
    <col width="50" customWidth="1" min="7" max="7"/>
    <col width="60" customWidth="1" min="8" max="8"/>
  </cols>
  <sheetData>
    <row r="1">
      <c r="A1" s="15" t="inlineStr">
        <is>
          <t>MODULE CAPEX</t>
        </is>
      </c>
      <c r="B1" s="15" t="n"/>
      <c r="C1" s="15" t="n"/>
      <c r="D1" s="15" t="n"/>
      <c r="E1" s="15" t="n"/>
      <c r="F1" s="97" t="inlineStr">
        <is>
          <t>Intent</t>
        </is>
      </c>
      <c r="G1" s="97" t="inlineStr">
        <is>
          <t>Explanation</t>
        </is>
      </c>
      <c r="H1" s="97" t="inlineStr">
        <is>
          <t>Dependents</t>
        </is>
      </c>
    </row>
    <row r="2">
      <c r="A2" s="31" t="inlineStr">
        <is>
          <t>Capital expenditure for a single digital boiler module</t>
        </is>
      </c>
      <c r="B2" s="9" t="inlineStr">
        <is>
          <t>Calculated dynamically from Rack Profile inputs</t>
        </is>
      </c>
      <c r="C2" s="9" t="n"/>
      <c r="D2" s="9" t="n"/>
      <c r="E2" s="9" t="n"/>
      <c r="F2" s="98" t="inlineStr">
        <is>
          <t>Model parameter</t>
        </is>
      </c>
      <c r="G2" s="99" t="inlineStr">
        <is>
          <t>Text value for Capital expenditure for a single digital boiler module</t>
        </is>
      </c>
      <c r="H2" s="99" t="n"/>
    </row>
    <row r="3">
      <c r="A3" s="9" t="n"/>
      <c r="B3" s="9" t="n"/>
      <c r="C3" s="9" t="n"/>
      <c r="D3" s="9" t="n"/>
      <c r="E3" s="9" t="n"/>
      <c r="F3" s="98" t="n"/>
      <c r="G3" s="99" t="n"/>
      <c r="H3" s="99" t="n"/>
    </row>
    <row r="4">
      <c r="A4" s="15" t="inlineStr">
        <is>
          <t>CONFIGURATION SUMMARY</t>
        </is>
      </c>
      <c r="B4" s="15" t="n"/>
      <c r="C4" s="15" t="n"/>
      <c r="D4" s="15" t="n"/>
      <c r="E4" s="15" t="n"/>
      <c r="F4" s="97" t="n"/>
      <c r="G4" s="97" t="n"/>
      <c r="H4" s="97" t="n"/>
    </row>
    <row r="5">
      <c r="A5" s="31" t="inlineStr">
        <is>
          <t>Chipset</t>
        </is>
      </c>
      <c r="B5" s="37">
        <f>'0. Rack Profile'!B6</f>
        <v/>
      </c>
      <c r="C5" s="9" t="n"/>
      <c r="D5" s="9" t="n"/>
      <c r="E5" s="9" t="n"/>
      <c r="F5" s="98" t="inlineStr">
        <is>
          <t>Model parameter</t>
        </is>
      </c>
      <c r="G5" s="99" t="inlineStr">
        <is>
          <t>Pulls value from 0. Rack Profile!B6</t>
        </is>
      </c>
      <c r="H5" s="99" t="n"/>
    </row>
    <row r="6">
      <c r="A6" s="31" t="inlineStr">
        <is>
          <t>Cooling method</t>
        </is>
      </c>
      <c r="B6" s="37">
        <f>'0. Rack Profile'!B17</f>
        <v/>
      </c>
      <c r="C6" s="9" t="n"/>
      <c r="D6" s="9" t="n"/>
      <c r="E6" s="9" t="n"/>
      <c r="F6" s="98" t="inlineStr">
        <is>
          <t>Model parameter</t>
        </is>
      </c>
      <c r="G6" s="99" t="inlineStr">
        <is>
          <t>Pulls value from 0. Rack Profile!B17</t>
        </is>
      </c>
      <c r="H6" s="99" t="inlineStr">
        <is>
          <t>2. Module Capex!B19 - Cold plate kits; 2. Module Capex!B20 - CDU (base); 2. Module Capex!B21 - CDU (capacity scaling); 2. Module Capex!B22 - Manifolds &amp; quick-connects; 2. Module Capex!B23 - Primary loop piping; 2. Module Capex!B27 - Immersion tanks; 2. Module Capex!B28 - Dielectric fluid (initial fill); 2. Module Capex!B29 - Fluid management system</t>
        </is>
      </c>
    </row>
    <row r="7">
      <c r="A7" s="31" t="inlineStr">
        <is>
          <t>Racks per module</t>
        </is>
      </c>
      <c r="B7" s="30">
        <f>'0. Rack Profile'!B37</f>
        <v/>
      </c>
      <c r="C7" s="9" t="n"/>
      <c r="D7" s="9" t="n"/>
      <c r="E7" s="9" t="n"/>
      <c r="F7" s="98" t="inlineStr">
        <is>
          <t>Model parameter</t>
        </is>
      </c>
      <c r="G7" s="99" t="inlineStr">
        <is>
          <t>Pulls value from 0. Rack Profile!B37</t>
        </is>
      </c>
      <c r="H7" s="99" t="inlineStr">
        <is>
          <t>2. Module Capex!B15 - Rack enclosures; 2. Module Capex!C15 - Rack enclosures; 2. Module Capex!B27 - Immersion tanks; 2. Module Capex!B28 - Dielectric fluid (initial fill); 2. Module Capex!B33 - Rack PDUs; 2. Module Capex!B47 - Per-rack monitoring</t>
        </is>
      </c>
    </row>
    <row r="8">
      <c r="A8" s="31" t="inlineStr">
        <is>
          <t>Servers per module</t>
        </is>
      </c>
      <c r="B8" s="30">
        <f>'0. Rack Profile'!B38</f>
        <v/>
      </c>
      <c r="C8" s="9" t="n"/>
      <c r="D8" s="9" t="n"/>
      <c r="E8" s="9" t="n"/>
      <c r="F8" s="98" t="inlineStr">
        <is>
          <t>Model parameter</t>
        </is>
      </c>
      <c r="G8" s="99" t="inlineStr">
        <is>
          <t>Pulls value from 0. Rack Profile!B38</t>
        </is>
      </c>
      <c r="H8" s="99" t="inlineStr">
        <is>
          <t>2. Module Capex!B19 - Cold plate kits; 2. Module Capex!B22 - Manifolds &amp; quick-connects</t>
        </is>
      </c>
    </row>
    <row r="9">
      <c r="A9" s="31" t="inlineStr">
        <is>
          <t>Module IT capacity (kW)</t>
        </is>
      </c>
      <c r="B9" s="32">
        <f>'0. Rack Profile'!B40</f>
        <v/>
      </c>
      <c r="C9" s="9" t="n"/>
      <c r="D9" s="9" t="n"/>
      <c r="E9" s="9" t="n"/>
      <c r="F9" s="98" t="inlineStr">
        <is>
          <t>Define or calculate system capability</t>
        </is>
      </c>
      <c r="G9" s="99" t="inlineStr">
        <is>
          <t>Pulls value from 0. Rack Profile!B40</t>
        </is>
      </c>
      <c r="H9" s="99" t="inlineStr">
        <is>
          <t>2. Module Capex!B21 - CDU (capacity scaling); 2. Module Capex!B34 - Module power distribution; 2. Module Capex!B68 - Capex per IT kW (£/kW)</t>
        </is>
      </c>
    </row>
    <row r="10">
      <c r="A10" s="31" t="inlineStr">
        <is>
          <t>Captured heat (kWth)</t>
        </is>
      </c>
      <c r="B10" s="32">
        <f>'0. Rack Profile'!B43</f>
        <v/>
      </c>
      <c r="C10" s="9" t="n"/>
      <c r="D10" s="9" t="n"/>
      <c r="E10" s="9" t="n"/>
      <c r="F10" s="98" t="inlineStr">
        <is>
          <t>Power or thermal capacity metric</t>
        </is>
      </c>
      <c r="G10" s="99" t="inlineStr">
        <is>
          <t>Pulls value from 0. Rack Profile!B43</t>
        </is>
      </c>
      <c r="H10" s="99" t="inlineStr">
        <is>
          <t>2. Module Capex!B40 - Heat exchanger (capacity scaling)</t>
        </is>
      </c>
    </row>
    <row r="11">
      <c r="A11" s="9" t="n"/>
      <c r="B11" s="10" t="n"/>
      <c r="C11" s="9" t="n"/>
      <c r="D11" s="9" t="n"/>
      <c r="E11" s="9" t="n"/>
      <c r="F11" s="98" t="n"/>
      <c r="G11" s="99" t="n"/>
      <c r="H11" s="99" t="n"/>
    </row>
    <row r="12">
      <c r="A12" s="15" t="inlineStr">
        <is>
          <t>ENCLOSURE &amp; STRUCTURE</t>
        </is>
      </c>
      <c r="B12" s="15" t="n"/>
      <c r="C12" s="15" t="n"/>
      <c r="D12" s="15" t="n"/>
      <c r="E12" s="15" t="n"/>
      <c r="F12" s="97" t="n"/>
      <c r="G12" s="97" t="n"/>
      <c r="H12" s="97" t="n"/>
    </row>
    <row r="13">
      <c r="A13" s="31" t="inlineStr">
        <is>
          <t>Container shell</t>
        </is>
      </c>
      <c r="B13" s="37">
        <f>'11. Reference Data'!B71</f>
        <v/>
      </c>
      <c r="C13" s="9" t="inlineStr">
        <is>
          <t>Fixed per module</t>
        </is>
      </c>
      <c r="D13" s="9" t="n"/>
      <c r="E13" s="9" t="n"/>
      <c r="F13" s="98" t="inlineStr">
        <is>
          <t>Cost modular enclosure structure</t>
        </is>
      </c>
      <c r="G13" s="99" t="inlineStr">
        <is>
          <t>Pulls value from 11. Reference Data!B71</t>
        </is>
      </c>
      <c r="H13" s="99" t="inlineStr">
        <is>
          <t>2. Module Capex!B16 - SUBTOTAL: ENCLOSURE</t>
        </is>
      </c>
    </row>
    <row r="14">
      <c r="A14" s="31" t="inlineStr">
        <is>
          <t>Container fit-out</t>
        </is>
      </c>
      <c r="B14" s="37">
        <f>'11. Reference Data'!B72</f>
        <v/>
      </c>
      <c r="C14" s="9" t="inlineStr">
        <is>
          <t>Fixed per module</t>
        </is>
      </c>
      <c r="D14" s="9" t="n"/>
      <c r="E14" s="9" t="n"/>
      <c r="F14" s="98" t="inlineStr">
        <is>
          <t>Cost modular enclosure structure</t>
        </is>
      </c>
      <c r="G14" s="99" t="inlineStr">
        <is>
          <t>Pulls value from 11. Reference Data!B72</t>
        </is>
      </c>
      <c r="H14" s="99" t="n"/>
    </row>
    <row r="15">
      <c r="A15" s="31" t="inlineStr">
        <is>
          <t>Rack enclosures</t>
        </is>
      </c>
      <c r="B15" s="37">
        <f>B7*'11. Reference Data'!B73</f>
        <v/>
      </c>
      <c r="C15" s="31">
        <f>B7&amp;" racks × £"&amp;'11. Reference Data'!B73</f>
        <v/>
      </c>
      <c r="D15" s="9" t="n"/>
      <c r="E15" s="9" t="n"/>
      <c r="F15" s="98" t="inlineStr">
        <is>
          <t>Cost per-rack housing</t>
        </is>
      </c>
      <c r="G15" s="99" t="inlineStr">
        <is>
          <t>Calculated from upstream values for Rack enclosures</t>
        </is>
      </c>
      <c r="H15" s="99" t="inlineStr">
        <is>
          <t>2. Module Capex!B16 - SUBTOTAL: ENCLOSURE</t>
        </is>
      </c>
    </row>
    <row r="16">
      <c r="A16" s="41" t="inlineStr">
        <is>
          <t>SUBTOTAL: ENCLOSURE</t>
        </is>
      </c>
      <c r="B16" s="43">
        <f>SUM(B13:B15)</f>
        <v/>
      </c>
      <c r="C16" s="41" t="n"/>
      <c r="D16" s="41" t="n"/>
      <c r="E16" s="41" t="n"/>
      <c r="F16" s="94" t="inlineStr">
        <is>
          <t>Subtotal enclosure costs for module</t>
        </is>
      </c>
      <c r="G16" s="94" t="inlineStr">
        <is>
          <t>Sum of component values for SUBTOTAL: ENCLOSURE</t>
        </is>
      </c>
      <c r="H16" s="94" t="inlineStr">
        <is>
          <t>2. Module Capex!B60 - Applied to base infrastructure; 2. Module Capex!B63 - Base infrastructure; 6. System Capex!B14 - Enclosure &amp; structure</t>
        </is>
      </c>
    </row>
    <row r="17">
      <c r="A17" s="9" t="n"/>
      <c r="B17" s="10" t="n"/>
      <c r="C17" s="9" t="n"/>
      <c r="D17" s="9" t="n"/>
      <c r="E17" s="9" t="n"/>
      <c r="F17" s="98" t="n"/>
      <c r="G17" s="99" t="n"/>
      <c r="H17" s="99" t="n"/>
    </row>
    <row r="18">
      <c r="A18" s="15" t="inlineStr">
        <is>
          <t>DTC COOLING</t>
        </is>
      </c>
      <c r="B18" s="44" t="inlineStr">
        <is>
          <t>Applies when cooling method = DTC</t>
        </is>
      </c>
      <c r="C18" s="15" t="n"/>
      <c r="D18" s="15" t="n"/>
      <c r="E18" s="15" t="n"/>
      <c r="F18" s="97" t="inlineStr">
        <is>
          <t>Section for DTC-specific equipment</t>
        </is>
      </c>
      <c r="G18" s="97" t="inlineStr">
        <is>
          <t>Section header</t>
        </is>
      </c>
      <c r="H18" s="97" t="n"/>
    </row>
    <row r="19">
      <c r="A19" s="31" t="inlineStr">
        <is>
          <t>Cold plate kits</t>
        </is>
      </c>
      <c r="B19" s="37">
        <f>IF(B6="Direct-to-Chip (DTC)",B8*'11. Reference Data'!B76,0)</f>
        <v/>
      </c>
      <c r="C19" s="9" t="inlineStr">
        <is>
          <t>Servers × £250/server</t>
        </is>
      </c>
      <c r="D19" s="9" t="n"/>
      <c r="E19" s="9" t="n"/>
      <c r="F19" s="98" t="inlineStr">
        <is>
          <t>Cost DTC cooling hardware per server</t>
        </is>
      </c>
      <c r="G19" s="99" t="inlineStr">
        <is>
          <t>Conditional logic for Cold plate kits</t>
        </is>
      </c>
      <c r="H19" s="99" t="inlineStr">
        <is>
          <t>2. Module Capex!B24 - SUBTOTAL: DTC COOLING</t>
        </is>
      </c>
    </row>
    <row r="20">
      <c r="A20" s="31" t="inlineStr">
        <is>
          <t>CDU (base)</t>
        </is>
      </c>
      <c r="B20" s="37">
        <f>IF(B6="Direct-to-Chip (DTC)",'11. Reference Data'!B77,0)</f>
        <v/>
      </c>
      <c r="C20" s="9" t="inlineStr">
        <is>
          <t>Fixed per module</t>
        </is>
      </c>
      <c r="D20" s="9" t="n"/>
      <c r="E20" s="9" t="n"/>
      <c r="F20" s="98" t="inlineStr">
        <is>
          <t>Cost coolant distribution unit</t>
        </is>
      </c>
      <c r="G20" s="99" t="inlineStr">
        <is>
          <t>Conditional logic for CDU (base)</t>
        </is>
      </c>
      <c r="H20" s="99" t="n"/>
    </row>
    <row r="21">
      <c r="A21" s="31" t="inlineStr">
        <is>
          <t>CDU (capacity scaling)</t>
        </is>
      </c>
      <c r="B21" s="37">
        <f>IF(B6="Direct-to-Chip (DTC)",B9*'11. Reference Data'!B78,0)</f>
        <v/>
      </c>
      <c r="C21" s="9" t="inlineStr">
        <is>
          <t>IT kW × £80/kW</t>
        </is>
      </c>
      <c r="D21" s="9" t="n"/>
      <c r="E21" s="9" t="n"/>
      <c r="F21" s="98" t="inlineStr">
        <is>
          <t>Cost coolant distribution unit</t>
        </is>
      </c>
      <c r="G21" s="99" t="inlineStr">
        <is>
          <t>Conditional logic for CDU (capacity scaling)</t>
        </is>
      </c>
      <c r="H21" s="99" t="n"/>
    </row>
    <row r="22">
      <c r="A22" s="31" t="inlineStr">
        <is>
          <t>Manifolds &amp; quick-connects</t>
        </is>
      </c>
      <c r="B22" s="37">
        <f>IF(B6="Direct-to-Chip (DTC)",B8*'11. Reference Data'!B79,0)</f>
        <v/>
      </c>
      <c r="C22" s="9" t="inlineStr">
        <is>
          <t>Servers × £150/server</t>
        </is>
      </c>
      <c r="D22" s="9" t="n"/>
      <c r="E22" s="9" t="n"/>
      <c r="F22" s="98" t="inlineStr">
        <is>
          <t>Cost fluid distribution to racks</t>
        </is>
      </c>
      <c r="G22" s="99" t="inlineStr">
        <is>
          <t>Conditional logic for Manifolds &amp; quick-connects</t>
        </is>
      </c>
      <c r="H22" s="99" t="n"/>
    </row>
    <row r="23">
      <c r="A23" s="31" t="inlineStr">
        <is>
          <t>Primary loop piping</t>
        </is>
      </c>
      <c r="B23" s="37">
        <f>IF(B6="Direct-to-Chip (DTC)",'11. Reference Data'!B80,0)</f>
        <v/>
      </c>
      <c r="C23" s="9" t="inlineStr">
        <is>
          <t>Fixed per module</t>
        </is>
      </c>
      <c r="D23" s="9" t="n"/>
      <c r="E23" s="9" t="n"/>
      <c r="F23" s="98" t="inlineStr">
        <is>
          <t>Cost primary cooling loop</t>
        </is>
      </c>
      <c r="G23" s="99" t="inlineStr">
        <is>
          <t>Conditional logic for Primary loop piping</t>
        </is>
      </c>
      <c r="H23" s="99" t="inlineStr">
        <is>
          <t>2. Module Capex!B24 - SUBTOTAL: DTC COOLING</t>
        </is>
      </c>
    </row>
    <row r="24">
      <c r="A24" s="41" t="inlineStr">
        <is>
          <t>SUBTOTAL: DTC COOLING</t>
        </is>
      </c>
      <c r="B24" s="43">
        <f>SUM(B19:B23)</f>
        <v/>
      </c>
      <c r="C24" s="41" t="n"/>
      <c r="D24" s="41" t="n"/>
      <c r="E24" s="41" t="n"/>
      <c r="F24" s="94" t="inlineStr">
        <is>
          <t>Subtotal DTC cooling costs</t>
        </is>
      </c>
      <c r="G24" s="94" t="inlineStr">
        <is>
          <t>Sum of component values for SUBTOTAL: DTC COOLING</t>
        </is>
      </c>
      <c r="H24" s="94" t="inlineStr">
        <is>
          <t>2. Module Capex!B60 - Applied to base infrastructure; 2. Module Capex!B63 - Base infrastructure; 6. System Capex!B15 - Cooling system</t>
        </is>
      </c>
    </row>
    <row r="25">
      <c r="A25" s="9" t="n"/>
      <c r="B25" s="10" t="n"/>
      <c r="C25" s="9" t="n"/>
      <c r="D25" s="9" t="n"/>
      <c r="E25" s="9" t="n"/>
      <c r="F25" s="98" t="n"/>
      <c r="G25" s="99" t="n"/>
      <c r="H25" s="99" t="n"/>
    </row>
    <row r="26">
      <c r="A26" s="15" t="inlineStr">
        <is>
          <t>IMMERSION COOLING</t>
        </is>
      </c>
      <c r="B26" s="15" t="inlineStr">
        <is>
          <t>Applies when cooling method = Immersion</t>
        </is>
      </c>
      <c r="C26" s="15" t="n"/>
      <c r="D26" s="15" t="n"/>
      <c r="E26" s="15" t="n"/>
      <c r="F26" s="97" t="inlineStr">
        <is>
          <t>Section for immersion-specific equipment</t>
        </is>
      </c>
      <c r="G26" s="97" t="inlineStr">
        <is>
          <t>Section header</t>
        </is>
      </c>
      <c r="H26" s="97" t="n"/>
    </row>
    <row r="27">
      <c r="A27" s="31" t="inlineStr">
        <is>
          <t>Immersion tanks</t>
        </is>
      </c>
      <c r="B27" s="37">
        <f>IF(B6="Single-Phase Immersion",B7*'11. Reference Data'!B83,IF(B6="Two-Phase Immersion",B7*'11. Reference Data'!B84,0))</f>
        <v/>
      </c>
      <c r="C27" s="9" t="inlineStr">
        <is>
          <t>Racks × tank cost</t>
        </is>
      </c>
      <c r="D27" s="9" t="n"/>
      <c r="E27" s="9" t="n"/>
      <c r="F27" s="98" t="inlineStr">
        <is>
          <t>Cost immersion cooling vessels</t>
        </is>
      </c>
      <c r="G27" s="99" t="inlineStr">
        <is>
          <t>Conditional logic for Immersion tanks</t>
        </is>
      </c>
      <c r="H27" s="99" t="inlineStr">
        <is>
          <t>2. Module Capex!B30 - SUBTOTAL: IMMERSION COOLING</t>
        </is>
      </c>
    </row>
    <row r="28">
      <c r="A28" s="31" t="inlineStr">
        <is>
          <t>Dielectric fluid (initial fill)</t>
        </is>
      </c>
      <c r="B28" s="37">
        <f>IF(B6="Single-Phase Immersion",B7*'11. Reference Data'!B87*'11. Reference Data'!B85,IF(B6="Two-Phase Immersion",B7*'11. Reference Data'!B88*'11. Reference Data'!B86,0))</f>
        <v/>
      </c>
      <c r="C28" s="9" t="inlineStr">
        <is>
          <t>Racks × volume × £/litre</t>
        </is>
      </c>
      <c r="D28" s="9" t="n"/>
      <c r="E28" s="9" t="n"/>
      <c r="F28" s="98" t="inlineStr">
        <is>
          <t>Cost cooling fluid initial fill</t>
        </is>
      </c>
      <c r="G28" s="99" t="inlineStr">
        <is>
          <t>Conditional logic for Dielectric fluid (initial fill)</t>
        </is>
      </c>
      <c r="H28" s="99" t="n"/>
    </row>
    <row r="29">
      <c r="A29" s="31" t="inlineStr">
        <is>
          <t>Fluid management system</t>
        </is>
      </c>
      <c r="B29" s="37">
        <f>IF(OR(B6="Single-Phase Immersion",B6="Two-Phase Immersion"),'11. Reference Data'!B89,0)</f>
        <v/>
      </c>
      <c r="C29" s="9" t="inlineStr">
        <is>
          <t>Fixed per module</t>
        </is>
      </c>
      <c r="D29" s="9" t="n"/>
      <c r="E29" s="9" t="n"/>
      <c r="F29" s="98" t="inlineStr">
        <is>
          <t>Cost cooling fluid initial fill</t>
        </is>
      </c>
      <c r="G29" s="99" t="inlineStr">
        <is>
          <t>Conditional logic for Fluid management system</t>
        </is>
      </c>
      <c r="H29" s="99" t="inlineStr">
        <is>
          <t>2. Module Capex!B30 - SUBTOTAL: IMMERSION COOLING</t>
        </is>
      </c>
    </row>
    <row r="30">
      <c r="A30" s="41" t="inlineStr">
        <is>
          <t>SUBTOTAL: IMMERSION COOLING</t>
        </is>
      </c>
      <c r="B30" s="43">
        <f>SUM(B27:B29)</f>
        <v/>
      </c>
      <c r="C30" s="41" t="n"/>
      <c r="D30" s="41" t="n"/>
      <c r="E30" s="41" t="n"/>
      <c r="F30" s="94" t="inlineStr">
        <is>
          <t>Subtotal immersion cooling costs</t>
        </is>
      </c>
      <c r="G30" s="94" t="inlineStr">
        <is>
          <t>Sum of component values for SUBTOTAL: IMMERSION COOLING</t>
        </is>
      </c>
      <c r="H30" s="94" t="inlineStr">
        <is>
          <t>2. Module Capex!B60 - Applied to base infrastructure; 2. Module Capex!B63 - Base infrastructure; 6. System Capex!B15 - Cooling system</t>
        </is>
      </c>
    </row>
    <row r="31">
      <c r="A31" s="9" t="n"/>
      <c r="B31" s="10" t="n"/>
      <c r="C31" s="9" t="n"/>
      <c r="D31" s="9" t="n"/>
      <c r="E31" s="9" t="n"/>
      <c r="F31" s="98" t="n"/>
      <c r="G31" s="99" t="n"/>
      <c r="H31" s="99" t="n"/>
    </row>
    <row r="32">
      <c r="A32" s="15" t="inlineStr">
        <is>
          <t>POWER DISTRIBUTION</t>
        </is>
      </c>
      <c r="B32" s="15" t="n"/>
      <c r="C32" s="15" t="n"/>
      <c r="D32" s="15" t="n"/>
      <c r="E32" s="15" t="n"/>
      <c r="F32" s="97" t="n"/>
      <c r="G32" s="97" t="n"/>
      <c r="H32" s="97" t="n"/>
    </row>
    <row r="33">
      <c r="A33" s="31" t="inlineStr">
        <is>
          <t>Rack PDUs</t>
        </is>
      </c>
      <c r="B33" s="37">
        <f>B7*'11. Reference Data'!B92</f>
        <v/>
      </c>
      <c r="C33" s="9" t="inlineStr">
        <is>
          <t>Racks × £3,000/rack</t>
        </is>
      </c>
      <c r="D33" s="9" t="n"/>
      <c r="E33" s="9" t="n"/>
      <c r="F33" s="98" t="inlineStr">
        <is>
          <t>Cost power distribution per rack</t>
        </is>
      </c>
      <c r="G33" s="99" t="inlineStr">
        <is>
          <t>Calculated from upstream values for Rack PDUs</t>
        </is>
      </c>
      <c r="H33" s="99" t="inlineStr">
        <is>
          <t>2. Module Capex!B36 - SUBTOTAL: POWER</t>
        </is>
      </c>
    </row>
    <row r="34">
      <c r="A34" s="31" t="inlineStr">
        <is>
          <t>Module power distribution</t>
        </is>
      </c>
      <c r="B34" s="37">
        <f>B9*'11. Reference Data'!B93</f>
        <v/>
      </c>
      <c r="C34" s="9" t="inlineStr">
        <is>
          <t>IT kW × £180/kW</t>
        </is>
      </c>
      <c r="D34" s="9" t="n"/>
      <c r="E34" s="9" t="n"/>
      <c r="F34" s="98" t="inlineStr">
        <is>
          <t>Cost module-level electrical</t>
        </is>
      </c>
      <c r="G34" s="99" t="inlineStr">
        <is>
          <t>Calculated from upstream values for Module power distribution</t>
        </is>
      </c>
      <c r="H34" s="99" t="n"/>
    </row>
    <row r="35">
      <c r="A35" s="31" t="inlineStr">
        <is>
          <t>Electrical panels &amp; switchgear</t>
        </is>
      </c>
      <c r="B35" s="37">
        <f>'11. Reference Data'!B94</f>
        <v/>
      </c>
      <c r="C35" s="9" t="inlineStr">
        <is>
          <t>Fixed per module</t>
        </is>
      </c>
      <c r="D35" s="9" t="n"/>
      <c r="E35" s="9" t="n"/>
      <c r="F35" s="98" t="inlineStr">
        <is>
          <t>Cost electrical switching equipment</t>
        </is>
      </c>
      <c r="G35" s="99" t="inlineStr">
        <is>
          <t>Pulls value from 11. Reference Data!B94</t>
        </is>
      </c>
      <c r="H35" s="99" t="inlineStr">
        <is>
          <t>2. Module Capex!B36 - SUBTOTAL: POWER</t>
        </is>
      </c>
    </row>
    <row r="36">
      <c r="A36" s="41" t="inlineStr">
        <is>
          <t>SUBTOTAL: POWER</t>
        </is>
      </c>
      <c r="B36" s="43">
        <f>SUM(B33:B35)</f>
        <v/>
      </c>
      <c r="C36" s="41" t="n"/>
      <c r="D36" s="41" t="n"/>
      <c r="E36" s="41" t="n"/>
      <c r="F36" s="94" t="inlineStr">
        <is>
          <t>Subtotal power distribution costs</t>
        </is>
      </c>
      <c r="G36" s="94" t="inlineStr">
        <is>
          <t>Sum of component values for SUBTOTAL: POWER</t>
        </is>
      </c>
      <c r="H36" s="94" t="inlineStr">
        <is>
          <t>2. Module Capex!B63 - Base infrastructure; 6. System Capex!B16 - Power distribution</t>
        </is>
      </c>
    </row>
    <row r="37">
      <c r="A37" s="9" t="n"/>
      <c r="B37" s="9" t="n"/>
      <c r="C37" s="9" t="n"/>
      <c r="D37" s="9" t="n"/>
      <c r="E37" s="9" t="n"/>
      <c r="F37" s="98" t="n"/>
      <c r="G37" s="99" t="n"/>
      <c r="H37" s="99" t="n"/>
    </row>
    <row r="38">
      <c r="A38" s="15" t="inlineStr">
        <is>
          <t>THERMAL INTEGRATION</t>
        </is>
      </c>
      <c r="B38" s="15" t="n"/>
      <c r="C38" s="15" t="n"/>
      <c r="D38" s="15" t="n"/>
      <c r="E38" s="15" t="n"/>
      <c r="F38" s="97" t="n"/>
      <c r="G38" s="97" t="n"/>
      <c r="H38" s="97" t="n"/>
    </row>
    <row r="39">
      <c r="A39" s="31" t="inlineStr">
        <is>
          <t>Primary heat exchanger (base)</t>
        </is>
      </c>
      <c r="B39" s="37">
        <f>'11. Reference Data'!B97</f>
        <v/>
      </c>
      <c r="C39" s="9" t="inlineStr">
        <is>
          <t>Fixed per module</t>
        </is>
      </c>
      <c r="D39" s="9" t="n"/>
      <c r="E39" s="9" t="n"/>
      <c r="F39" s="98" t="inlineStr">
        <is>
          <t>Cost thermal interface equipment</t>
        </is>
      </c>
      <c r="G39" s="99" t="inlineStr">
        <is>
          <t>Pulls value from 11. Reference Data!B97</t>
        </is>
      </c>
      <c r="H39" s="99" t="inlineStr">
        <is>
          <t>2. Module Capex!B43 - SUBTOTAL: THERMAL</t>
        </is>
      </c>
    </row>
    <row r="40">
      <c r="A40" s="31" t="inlineStr">
        <is>
          <t>Heat exchanger (capacity scaling)</t>
        </is>
      </c>
      <c r="B40" s="37">
        <f>B10*'11. Reference Data'!B98</f>
        <v/>
      </c>
      <c r="C40" s="9" t="inlineStr">
        <is>
          <t>Thermal kW × £25/kW</t>
        </is>
      </c>
      <c r="D40" s="9" t="n"/>
      <c r="E40" s="9" t="n"/>
      <c r="F40" s="98" t="inlineStr">
        <is>
          <t>Cost thermal interface equipment</t>
        </is>
      </c>
      <c r="G40" s="99" t="inlineStr">
        <is>
          <t>Calculated from upstream values for Heat exchanger (capacity scaling)</t>
        </is>
      </c>
      <c r="H40" s="99" t="n"/>
    </row>
    <row r="41">
      <c r="A41" s="31" t="inlineStr">
        <is>
          <t>Thermal integration skid</t>
        </is>
      </c>
      <c r="B41" s="37">
        <f>'11. Reference Data'!B99</f>
        <v/>
      </c>
      <c r="C41" s="9" t="inlineStr">
        <is>
          <t>Fixed per module</t>
        </is>
      </c>
      <c r="D41" s="9" t="n"/>
      <c r="E41" s="9" t="n"/>
      <c r="F41" s="98" t="inlineStr">
        <is>
          <t>Cost heat delivery infrastructure</t>
        </is>
      </c>
      <c r="G41" s="99" t="inlineStr">
        <is>
          <t>Pulls value from 11. Reference Data!B99</t>
        </is>
      </c>
      <c r="H41" s="99" t="n"/>
    </row>
    <row r="42">
      <c r="A42" s="31" t="inlineStr">
        <is>
          <t>Instrumentation &amp; sensors</t>
        </is>
      </c>
      <c r="B42" s="37">
        <f>'11. Reference Data'!B100</f>
        <v/>
      </c>
      <c r="C42" s="9" t="inlineStr">
        <is>
          <t>Fixed per module</t>
        </is>
      </c>
      <c r="D42" s="9" t="n"/>
      <c r="E42" s="9" t="n"/>
      <c r="F42" s="98" t="inlineStr">
        <is>
          <t>Cost monitoring equipment</t>
        </is>
      </c>
      <c r="G42" s="99" t="inlineStr">
        <is>
          <t>Pulls value from 11. Reference Data!B100</t>
        </is>
      </c>
      <c r="H42" s="99" t="inlineStr">
        <is>
          <t>2. Module Capex!B43 - SUBTOTAL: THERMAL</t>
        </is>
      </c>
    </row>
    <row r="43">
      <c r="A43" s="41" t="inlineStr">
        <is>
          <t>SUBTOTAL: THERMAL</t>
        </is>
      </c>
      <c r="B43" s="43">
        <f>SUM(B39:B42)</f>
        <v/>
      </c>
      <c r="C43" s="41" t="n"/>
      <c r="D43" s="41" t="n"/>
      <c r="E43" s="41" t="n"/>
      <c r="F43" s="94" t="inlineStr">
        <is>
          <t>Subtotal thermal integration costs</t>
        </is>
      </c>
      <c r="G43" s="94" t="inlineStr">
        <is>
          <t>Sum of component values for SUBTOTAL: THERMAL</t>
        </is>
      </c>
      <c r="H43" s="94" t="inlineStr">
        <is>
          <t>2. Module Capex!B63 - Base infrastructure; 6. System Capex!B17 - Thermal integration</t>
        </is>
      </c>
    </row>
    <row r="44">
      <c r="A44" s="9" t="n"/>
      <c r="B44" s="9" t="n"/>
      <c r="C44" s="9" t="n"/>
      <c r="D44" s="9" t="n"/>
      <c r="E44" s="9" t="n"/>
      <c r="F44" s="98" t="n"/>
      <c r="G44" s="99" t="n"/>
      <c r="H44" s="99" t="n"/>
    </row>
    <row r="45">
      <c r="A45" s="15" t="inlineStr">
        <is>
          <t>MONITORING &amp; CONTROLS</t>
        </is>
      </c>
      <c r="B45" s="15" t="n"/>
      <c r="C45" s="15" t="n"/>
      <c r="D45" s="15" t="n"/>
      <c r="E45" s="15" t="n"/>
      <c r="F45" s="97" t="n"/>
      <c r="G45" s="97" t="n"/>
      <c r="H45" s="97" t="n"/>
    </row>
    <row r="46">
      <c r="A46" s="31" t="inlineStr">
        <is>
          <t>BMS base system</t>
        </is>
      </c>
      <c r="B46" s="37">
        <f>'11. Reference Data'!B103</f>
        <v/>
      </c>
      <c r="C46" s="9" t="inlineStr">
        <is>
          <t>Fixed per module</t>
        </is>
      </c>
      <c r="D46" s="9" t="n"/>
      <c r="E46" s="9" t="n"/>
      <c r="F46" s="98" t="inlineStr">
        <is>
          <t>Cost building management system</t>
        </is>
      </c>
      <c r="G46" s="99" t="inlineStr">
        <is>
          <t>Pulls value from 11. Reference Data!B103</t>
        </is>
      </c>
      <c r="H46" s="99" t="inlineStr">
        <is>
          <t>2. Module Capex!B49 - SUBTOTAL: MONITORING</t>
        </is>
      </c>
    </row>
    <row r="47">
      <c r="A47" s="31" t="inlineStr">
        <is>
          <t>Per-rack monitoring</t>
        </is>
      </c>
      <c r="B47" s="37">
        <f>B7*'11. Reference Data'!B104</f>
        <v/>
      </c>
      <c r="C47" s="9" t="inlineStr">
        <is>
          <t>Racks × £500/rack</t>
        </is>
      </c>
      <c r="D47" s="9" t="n"/>
      <c r="E47" s="9" t="n"/>
      <c r="F47" s="98" t="inlineStr">
        <is>
          <t>Cost per-rack monitoring</t>
        </is>
      </c>
      <c r="G47" s="99" t="inlineStr">
        <is>
          <t>Calculated from upstream values for Per-rack monitoring</t>
        </is>
      </c>
      <c r="H47" s="99" t="n"/>
    </row>
    <row r="48">
      <c r="A48" s="31" t="inlineStr">
        <is>
          <t>Network infrastructure</t>
        </is>
      </c>
      <c r="B48" s="37">
        <f>'11. Reference Data'!B105</f>
        <v/>
      </c>
      <c r="C48" s="9" t="inlineStr">
        <is>
          <t>Fixed per module</t>
        </is>
      </c>
      <c r="D48" s="9" t="n"/>
      <c r="E48" s="9" t="n"/>
      <c r="F48" s="98" t="inlineStr">
        <is>
          <t>Cost network infrastructure</t>
        </is>
      </c>
      <c r="G48" s="99" t="inlineStr">
        <is>
          <t>Pulls value from 11. Reference Data!B105</t>
        </is>
      </c>
      <c r="H48" s="99" t="inlineStr">
        <is>
          <t>2. Module Capex!B49 - SUBTOTAL: MONITORING</t>
        </is>
      </c>
    </row>
    <row r="49">
      <c r="A49" s="41" t="inlineStr">
        <is>
          <t>SUBTOTAL: MONITORING</t>
        </is>
      </c>
      <c r="B49" s="43">
        <f>SUM(B46:B48)</f>
        <v/>
      </c>
      <c r="C49" s="41" t="n"/>
      <c r="D49" s="41" t="n"/>
      <c r="E49" s="41" t="n"/>
      <c r="F49" s="94" t="inlineStr">
        <is>
          <t>Subtotal monitoring costs</t>
        </is>
      </c>
      <c r="G49" s="94" t="inlineStr">
        <is>
          <t>Sum of component values for SUBTOTAL: MONITORING</t>
        </is>
      </c>
      <c r="H49" s="94" t="inlineStr">
        <is>
          <t>2. Module Capex!B63 - Base infrastructure; 6. System Capex!B18 - Monitoring &amp; controls</t>
        </is>
      </c>
    </row>
    <row r="50">
      <c r="A50" s="9" t="n"/>
      <c r="B50" s="9" t="n"/>
      <c r="C50" s="9" t="n"/>
      <c r="D50" s="9" t="n"/>
      <c r="E50" s="9" t="n"/>
      <c r="F50" s="98" t="n"/>
      <c r="G50" s="99" t="n"/>
      <c r="H50" s="99" t="n"/>
    </row>
    <row r="51">
      <c r="A51" s="15" t="inlineStr">
        <is>
          <t>HEAT PUMP (IF ENABLED)</t>
        </is>
      </c>
      <c r="B51" s="15" t="inlineStr">
        <is>
          <t>From Module Criteria heat pump toggle</t>
        </is>
      </c>
      <c r="C51" s="15" t="n"/>
      <c r="D51" s="15" t="n"/>
      <c r="E51" s="15" t="n"/>
      <c r="F51" s="97" t="inlineStr">
        <is>
          <t>Model parameter</t>
        </is>
      </c>
      <c r="G51" s="97" t="inlineStr">
        <is>
          <t>Section header</t>
        </is>
      </c>
      <c r="H51" s="97" t="n"/>
    </row>
    <row r="52">
      <c r="A52" s="31" t="inlineStr">
        <is>
          <t>Heat pump CAPEX rate (£/kWth)</t>
        </is>
      </c>
      <c r="B52" s="28" t="n">
        <v>600</v>
      </c>
      <c r="C52" s="9" t="n"/>
      <c r="D52" s="9" t="n"/>
      <c r="E52" s="9" t="n"/>
      <c r="F52" s="98" t="inlineStr">
        <is>
          <t>Financial input or calculation</t>
        </is>
      </c>
      <c r="G52" s="99" t="inlineStr">
        <is>
          <t>Input parameter: Heat pump CAPEX rate (£/kWth)</t>
        </is>
      </c>
      <c r="H52" s="99" t="inlineStr">
        <is>
          <t>2. Module Capex!B53 - Heat pump unit</t>
        </is>
      </c>
    </row>
    <row r="53">
      <c r="A53" s="31" t="inlineStr">
        <is>
          <t>Heat pump unit</t>
        </is>
      </c>
      <c r="B53" s="37">
        <f>IF('1. Module Criteria'!B15=1,'1. Module Criteria'!B18*B52,0)</f>
        <v/>
      </c>
      <c r="C53" s="9" t="n"/>
      <c r="D53" s="9" t="n"/>
      <c r="E53" s="9" t="n"/>
      <c r="F53" s="98" t="inlineStr">
        <is>
          <t>Cost heat pump equipment</t>
        </is>
      </c>
      <c r="G53" s="99" t="inlineStr">
        <is>
          <t>Conditional logic for Heat pump unit</t>
        </is>
      </c>
      <c r="H53" s="99" t="inlineStr">
        <is>
          <t>2. Module Capex!B54 - Heat pump installation; 2. Module Capex!B56 - SUBTOTAL: HEAT PUMP; 3. Module Opex!B18 - Heat pump maintenance (£/yr)</t>
        </is>
      </c>
    </row>
    <row r="54">
      <c r="A54" s="31" t="inlineStr">
        <is>
          <t>Heat pump installation</t>
        </is>
      </c>
      <c r="B54" s="37">
        <f>IF('1. Module Criteria'!B15=1,B53*0.15,0)</f>
        <v/>
      </c>
      <c r="C54" s="9" t="n"/>
      <c r="D54" s="9" t="n"/>
      <c r="E54" s="9" t="n"/>
      <c r="F54" s="98" t="inlineStr">
        <is>
          <t>Cost heat pump installation</t>
        </is>
      </c>
      <c r="G54" s="99" t="inlineStr">
        <is>
          <t>Conditional logic for Heat pump installation</t>
        </is>
      </c>
      <c r="H54" s="99" t="n"/>
    </row>
    <row r="55">
      <c r="A55" s="31" t="inlineStr">
        <is>
          <t>Heat pump controls</t>
        </is>
      </c>
      <c r="B55" s="37">
        <f>IF('1. Module Criteria'!B15=1,15000,0)</f>
        <v/>
      </c>
      <c r="C55" s="9" t="n"/>
      <c r="D55" s="9" t="n"/>
      <c r="E55" s="9" t="n"/>
      <c r="F55" s="98" t="inlineStr">
        <is>
          <t>Cost heat pump control systems</t>
        </is>
      </c>
      <c r="G55" s="99" t="inlineStr">
        <is>
          <t>Conditional logic for Heat pump controls</t>
        </is>
      </c>
      <c r="H55" s="99" t="inlineStr">
        <is>
          <t>2. Module Capex!B56 - SUBTOTAL: HEAT PUMP</t>
        </is>
      </c>
    </row>
    <row r="56">
      <c r="A56" s="41" t="inlineStr">
        <is>
          <t>SUBTOTAL: HEAT PUMP</t>
        </is>
      </c>
      <c r="B56" s="43">
        <f>SUM(B53:B55)</f>
        <v/>
      </c>
      <c r="C56" s="41" t="n"/>
      <c r="D56" s="41" t="n"/>
      <c r="E56" s="41" t="n"/>
      <c r="F56" s="94" t="inlineStr">
        <is>
          <t>Subtotal heat pump costs</t>
        </is>
      </c>
      <c r="G56" s="94" t="inlineStr">
        <is>
          <t>Sum of component values for SUBTOTAL: HEAT PUMP</t>
        </is>
      </c>
      <c r="H56" s="94" t="inlineStr">
        <is>
          <t>2. Module Capex!B65 - Heat pump; 6. System Capex!B20 - Heat pump (if enabled)</t>
        </is>
      </c>
    </row>
    <row r="57">
      <c r="A57" s="9" t="n"/>
      <c r="B57" s="9" t="n"/>
      <c r="C57" s="9" t="n"/>
      <c r="D57" s="9" t="n"/>
      <c r="E57" s="9" t="n"/>
      <c r="F57" s="98" t="n"/>
      <c r="G57" s="99" t="n"/>
      <c r="H57" s="99" t="n"/>
    </row>
    <row r="58">
      <c r="A58" s="15" t="inlineStr">
        <is>
          <t>COOLING METHOD PREMIUM</t>
        </is>
      </c>
      <c r="B58" s="15" t="n"/>
      <c r="C58" s="15" t="n"/>
      <c r="D58" s="15" t="n"/>
      <c r="E58" s="15" t="n"/>
      <c r="F58" s="97" t="n"/>
      <c r="G58" s="97" t="n"/>
      <c r="H58" s="97" t="n"/>
    </row>
    <row r="59">
      <c r="A59" s="31" t="inlineStr">
        <is>
          <t>Premium rate (%)</t>
        </is>
      </c>
      <c r="B59" s="33">
        <f>'0. Rack Profile'!B24/100</f>
        <v/>
      </c>
      <c r="C59" s="9" t="inlineStr">
        <is>
          <t>From Rack Profile</t>
        </is>
      </c>
      <c r="D59" s="9" t="n"/>
      <c r="E59" s="9" t="n"/>
      <c r="F59" s="98" t="inlineStr">
        <is>
          <t>Apply cooling technology cost premium</t>
        </is>
      </c>
      <c r="G59" s="99" t="inlineStr">
        <is>
          <t>Formula: Premium rate (%)</t>
        </is>
      </c>
      <c r="H59" s="99" t="inlineStr">
        <is>
          <t>2. Module Capex!B60 - Applied to base infrastructure</t>
        </is>
      </c>
    </row>
    <row r="60">
      <c r="A60" s="31" t="inlineStr">
        <is>
          <t>Applied to base infrastructure</t>
        </is>
      </c>
      <c r="B60" s="37">
        <f>(B16+B24+B30)*B59</f>
        <v/>
      </c>
      <c r="C60" t="inlineStr">
        <is>
          <t>Enclosure + Cooling × Premium %</t>
        </is>
      </c>
      <c r="F60" s="98" t="inlineStr">
        <is>
          <t>Model parameter</t>
        </is>
      </c>
      <c r="G60" s="99" t="inlineStr">
        <is>
          <t>Formula: Applied to base infrastructure</t>
        </is>
      </c>
      <c r="H60" s="99" t="inlineStr">
        <is>
          <t>2. Module Capex!B64 - Cooling premium; 6. System Capex!B19 - Cooling method premium</t>
        </is>
      </c>
    </row>
    <row r="61">
      <c r="F61" s="98" t="n"/>
      <c r="G61" s="99" t="n"/>
      <c r="H61" s="99" t="n"/>
    </row>
    <row r="62">
      <c r="A62" s="15" t="inlineStr">
        <is>
          <t>TOTAL MODULE CAPEX</t>
        </is>
      </c>
      <c r="B62" s="15" t="n"/>
      <c r="C62" s="15" t="n"/>
      <c r="D62" s="15" t="n"/>
      <c r="E62" s="15" t="n"/>
      <c r="F62" s="97" t="n"/>
      <c r="G62" s="97" t="n"/>
      <c r="H62" s="97" t="n"/>
    </row>
    <row r="63">
      <c r="A63" s="31" t="inlineStr">
        <is>
          <t>Base infrastructure</t>
        </is>
      </c>
      <c r="B63" s="37">
        <f>B16+B24+B30+B36+B43+B49</f>
        <v/>
      </c>
      <c r="F63" s="98" t="inlineStr">
        <is>
          <t>Model parameter</t>
        </is>
      </c>
      <c r="G63" s="99" t="inlineStr">
        <is>
          <t>Calculated from upstream values for Base infrastructure</t>
        </is>
      </c>
      <c r="H63" s="99" t="inlineStr">
        <is>
          <t>2. Module Capex!B66 - TOTAL MODULE CAPEX; 3. Module Opex!B16 - Base maintenance (£/yr)</t>
        </is>
      </c>
    </row>
    <row r="64">
      <c r="A64" s="31" t="inlineStr">
        <is>
          <t>Cooling premium</t>
        </is>
      </c>
      <c r="B64" s="37">
        <f>B60</f>
        <v/>
      </c>
      <c r="F64" s="98" t="inlineStr">
        <is>
          <t>Apply cooling technology cost premium</t>
        </is>
      </c>
      <c r="G64" s="99" t="inlineStr">
        <is>
          <t>Formula: Cooling premium</t>
        </is>
      </c>
      <c r="H64" s="99" t="inlineStr">
        <is>
          <t>2. Module Capex!B66 - TOTAL MODULE CAPEX</t>
        </is>
      </c>
    </row>
    <row r="65">
      <c r="A65" s="31" t="inlineStr">
        <is>
          <t>Heat pump</t>
        </is>
      </c>
      <c r="B65" s="37">
        <f>B56</f>
        <v/>
      </c>
      <c r="F65" s="98" t="inlineStr">
        <is>
          <t>Model parameter</t>
        </is>
      </c>
      <c r="G65" s="99" t="inlineStr">
        <is>
          <t>Formula: Heat pump</t>
        </is>
      </c>
      <c r="H65" s="99" t="inlineStr">
        <is>
          <t>2. Module Capex!B66 - TOTAL MODULE CAPEX</t>
        </is>
      </c>
    </row>
    <row r="66">
      <c r="A66" s="94" t="inlineStr">
        <is>
          <t>TOTAL MODULE CAPEX</t>
        </is>
      </c>
      <c r="B66" s="95">
        <f>B63+B64+B65</f>
        <v/>
      </c>
      <c r="C66" s="94" t="n"/>
      <c r="D66" s="94" t="n"/>
      <c r="E66" s="94" t="n"/>
      <c r="F66" s="94" t="inlineStr">
        <is>
          <t>Sum all capital costs for investment analysis</t>
        </is>
      </c>
      <c r="G66" s="94" t="inlineStr">
        <is>
          <t>Calculated from upstream values for TOTAL MODULE CAPEX</t>
        </is>
      </c>
      <c r="H66" s="94" t="inlineStr">
        <is>
          <t>2. Module Capex!B68 - Capex per IT kW (£/kW); 2. Module Capex!B69 - Capex per GPU (£/GPU); 3. Module Opex!B20 - Insurance (£/yr); 6. System Capex!B21 - TOTAL PER MODULE</t>
        </is>
      </c>
    </row>
    <row r="67">
      <c r="F67" s="98" t="n"/>
      <c r="G67" s="99" t="n"/>
      <c r="H67" s="99" t="n"/>
    </row>
    <row r="68">
      <c r="A68" s="31" t="inlineStr">
        <is>
          <t>Capex per IT kW (£/kW)</t>
        </is>
      </c>
      <c r="B68" s="37">
        <f>B66/B9</f>
        <v/>
      </c>
      <c r="F68" s="98" t="inlineStr">
        <is>
          <t>Calculate unit cost metric for comparison</t>
        </is>
      </c>
      <c r="G68" s="99" t="inlineStr">
        <is>
          <t>Calculated from upstream values for Capex per IT kW (£/kW)</t>
        </is>
      </c>
      <c r="H68" s="99" t="n"/>
    </row>
    <row r="69">
      <c r="A69" s="31" t="inlineStr">
        <is>
          <t>Capex per GPU (£/GPU)</t>
        </is>
      </c>
      <c r="B69" s="37">
        <f>B66/('0. Rack Profile'!B39)</f>
        <v/>
      </c>
      <c r="F69" s="98" t="inlineStr">
        <is>
          <t>Calculate unit cost metric for comparison</t>
        </is>
      </c>
      <c r="G69" s="99" t="inlineStr">
        <is>
          <t>Calculated from upstream values for Capex per GPU (£/GPU)</t>
        </is>
      </c>
      <c r="H69" s="9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10" defaultColWidth="8.83203125" defaultRowHeight="15"/>
  <cols>
    <col width="38" customWidth="1" min="1" max="1"/>
    <col width="15" customWidth="1" min="2" max="2"/>
    <col width="12" customWidth="1" min="3" max="3"/>
    <col width="45" customWidth="1" min="4" max="4"/>
    <col width="45" customWidth="1" min="6" max="6"/>
    <col width="50" customWidth="1" min="7" max="7"/>
    <col width="60" customWidth="1" min="8" max="8"/>
  </cols>
  <sheetData>
    <row r="1">
      <c r="A1" s="15" t="inlineStr">
        <is>
          <t>MODULE OPEX</t>
        </is>
      </c>
      <c r="B1" s="15" t="n"/>
      <c r="C1" s="15" t="n"/>
      <c r="D1" s="15" t="n"/>
      <c r="E1" s="15" t="n"/>
      <c r="F1" s="97" t="inlineStr">
        <is>
          <t>Intent</t>
        </is>
      </c>
      <c r="G1" s="97" t="inlineStr">
        <is>
          <t>Explanation</t>
        </is>
      </c>
      <c r="H1" s="97" t="inlineStr">
        <is>
          <t>Dependents</t>
        </is>
      </c>
    </row>
    <row r="2">
      <c r="A2" s="31" t="inlineStr">
        <is>
          <t>Annual operating expenditure for a single digital boiler module</t>
        </is>
      </c>
      <c r="F2" s="98" t="inlineStr">
        <is>
          <t>Model parameter</t>
        </is>
      </c>
      <c r="G2" s="99" t="inlineStr">
        <is>
          <t>Row label only</t>
        </is>
      </c>
      <c r="H2" s="99" t="n"/>
    </row>
    <row r="3">
      <c r="F3" s="98" t="n"/>
      <c r="G3" s="99" t="n"/>
      <c r="H3" s="99" t="n"/>
    </row>
    <row r="4">
      <c r="A4" s="15" t="inlineStr">
        <is>
          <t>ELECTRICITY COSTS (TRIBE BEARS)</t>
        </is>
      </c>
      <c r="B4" s="15" t="n"/>
      <c r="C4" s="15" t="n"/>
      <c r="D4" s="15" t="n"/>
      <c r="E4" s="15" t="n"/>
      <c r="F4" s="97" t="inlineStr">
        <is>
          <t>Financial input or calculation</t>
        </is>
      </c>
      <c r="G4" s="97" t="n"/>
      <c r="H4" s="97" t="n"/>
    </row>
    <row r="5">
      <c r="A5" s="31" t="inlineStr">
        <is>
          <t>Electricity rate (£/kWh)</t>
        </is>
      </c>
      <c r="B5" s="115" t="n">
        <v>0.18</v>
      </c>
      <c r="D5" t="inlineStr">
        <is>
          <t>Industrial electricity rate</t>
        </is>
      </c>
      <c r="F5" s="98" t="inlineStr">
        <is>
          <t>Set electricity cost assumption</t>
        </is>
      </c>
      <c r="G5" s="99" t="inlineStr">
        <is>
          <t>Input parameter: Electricity rate (£/kWh)</t>
        </is>
      </c>
      <c r="H5" s="99" t="inlineStr">
        <is>
          <t>3. Module Opex!B7 - Infrastructure power cost (£/yr); 3. Module Opex!B9 - Heat pump electricity (£/yr); 7. System Opex!B34 - Electricity rate (£/kWh)</t>
        </is>
      </c>
    </row>
    <row r="6">
      <c r="A6" s="31" t="inlineStr">
        <is>
          <t>Infrastructure power (from PUE)</t>
        </is>
      </c>
      <c r="B6" s="57">
        <f>'0. Rack Profile'!B23-1</f>
        <v/>
      </c>
      <c r="C6" t="inlineStr">
        <is>
          <t>PUE contribution - 1</t>
        </is>
      </c>
      <c r="D6" t="inlineStr">
        <is>
          <t>Pumps, controls, BMS, lighting (~5%)</t>
        </is>
      </c>
      <c r="F6" s="98" t="inlineStr">
        <is>
          <t>Calculate cooling/support power draw</t>
        </is>
      </c>
      <c r="G6" s="99" t="inlineStr">
        <is>
          <t>Formula: Infrastructure power (from PUE)</t>
        </is>
      </c>
      <c r="H6" s="99" t="inlineStr">
        <is>
          <t>3. Module Opex!B7 - Infrastructure power cost (£/yr)</t>
        </is>
      </c>
    </row>
    <row r="7">
      <c r="A7" s="31" t="inlineStr">
        <is>
          <t>Infrastructure power cost (£/yr)</t>
        </is>
      </c>
      <c r="B7" s="37">
        <f>'1. Module Criteria'!B5*B6*'1. Module Criteria'!B23*B5*'1. Module Criteria'!B7</f>
        <v/>
      </c>
      <c r="D7" t="inlineStr">
        <is>
          <t>IT kW × 5% × hours × £/kWh × util</t>
        </is>
      </c>
      <c r="F7" s="98" t="inlineStr">
        <is>
          <t>Calculate cooling/support power draw</t>
        </is>
      </c>
      <c r="G7" s="99" t="inlineStr">
        <is>
          <t>Formula: Infrastructure power cost (£/yr)</t>
        </is>
      </c>
      <c r="H7" s="99" t="inlineStr">
        <is>
          <t>3. Module Opex!B10 - SUBTOTAL: ELECTRICITY</t>
        </is>
      </c>
    </row>
    <row r="8">
      <c r="F8" s="98" t="n"/>
      <c r="G8" s="99" t="n"/>
      <c r="H8" s="99" t="n"/>
    </row>
    <row r="9">
      <c r="A9" s="31" t="inlineStr">
        <is>
          <t>Heat pump electricity (£/yr)</t>
        </is>
      </c>
      <c r="B9" s="37">
        <f>IF('1. Module Criteria'!B15=1,('1. Module Criteria'!B21/'1. Module Criteria'!B17)*'1. Module Criteria'!B23*'1. Module Criteria'!B7*B5,0)</f>
        <v/>
      </c>
      <c r="D9" t="inlineStr">
        <is>
          <t>(HP kWth ÷ COP) × hours × util × £/kWh</t>
        </is>
      </c>
      <c r="F9" s="98" t="inlineStr">
        <is>
          <t>Model heat pump operating expense</t>
        </is>
      </c>
      <c r="G9" s="99" t="inlineStr">
        <is>
          <t>Conditional logic for Heat pump electricity (£/yr)</t>
        </is>
      </c>
      <c r="H9" s="99" t="inlineStr">
        <is>
          <t>3. Module Opex!B10 - SUBTOTAL: ELECTRICITY</t>
        </is>
      </c>
    </row>
    <row r="10">
      <c r="A10" s="41" t="inlineStr">
        <is>
          <t>SUBTOTAL: ELECTRICITY</t>
        </is>
      </c>
      <c r="B10" s="43">
        <f>B7+B9</f>
        <v/>
      </c>
      <c r="C10" s="41" t="n"/>
      <c r="D10" s="41" t="n"/>
      <c r="E10" s="41" t="n"/>
      <c r="F10" s="94" t="inlineStr">
        <is>
          <t>Subtotal electricity costs</t>
        </is>
      </c>
      <c r="G10" s="94" t="inlineStr">
        <is>
          <t>Calculated from upstream values for SUBTOTAL: ELECTRICITY</t>
        </is>
      </c>
      <c r="H10" s="94" t="inlineStr">
        <is>
          <t>3. Module Opex!B29 - TOTAL MODULE OPEX (£/yr); 7. System Opex!B14 - Electricity (infra + HP)</t>
        </is>
      </c>
    </row>
    <row r="11">
      <c r="F11" s="98" t="n"/>
      <c r="G11" s="99" t="n"/>
      <c r="H11" s="99" t="n"/>
    </row>
    <row r="12">
      <c r="A12" s="31" t="inlineStr">
        <is>
          <t>Note: Tenant rack power is pass-through (not included above)</t>
        </is>
      </c>
      <c r="B12" s="7" t="n"/>
      <c r="F12" s="98" t="inlineStr">
        <is>
          <t>Model parameter</t>
        </is>
      </c>
      <c r="G12" s="99" t="inlineStr">
        <is>
          <t>Row label only</t>
        </is>
      </c>
      <c r="H12" s="99" t="n"/>
    </row>
    <row r="13">
      <c r="F13" s="98" t="n"/>
      <c r="G13" s="99" t="n"/>
      <c r="H13" s="99" t="n"/>
    </row>
    <row r="14">
      <c r="A14" s="15" t="inlineStr">
        <is>
          <t>MAINTENANCE &amp; INSURANCE</t>
        </is>
      </c>
      <c r="B14" s="15" t="n"/>
      <c r="C14" s="15" t="n"/>
      <c r="D14" s="15" t="n"/>
      <c r="E14" s="15" t="n"/>
      <c r="F14" s="97" t="n"/>
      <c r="G14" s="97" t="n"/>
      <c r="H14" s="97" t="n"/>
    </row>
    <row r="15">
      <c r="A15" s="31" t="inlineStr">
        <is>
          <t>Base maintenance (% of base capex)</t>
        </is>
      </c>
      <c r="B15" s="116" t="n">
        <v>0.03</v>
      </c>
      <c r="F15" s="98" t="inlineStr">
        <is>
          <t>Model ongoing maintenance expense</t>
        </is>
      </c>
      <c r="G15" s="99" t="inlineStr">
        <is>
          <t>Input parameter: Base maintenance (% of base capex)</t>
        </is>
      </c>
      <c r="H15" s="99" t="inlineStr">
        <is>
          <t>3. Module Opex!B16 - Base maintenance (£/yr)</t>
        </is>
      </c>
    </row>
    <row r="16">
      <c r="A16" s="31" t="inlineStr">
        <is>
          <t>Base maintenance (£/yr)</t>
        </is>
      </c>
      <c r="B16" s="37">
        <f>'2. Module Capex'!B63*B15</f>
        <v/>
      </c>
      <c r="F16" s="98" t="inlineStr">
        <is>
          <t>Model ongoing maintenance expense</t>
        </is>
      </c>
      <c r="G16" s="99" t="inlineStr">
        <is>
          <t>Formula: Base maintenance (£/yr)</t>
        </is>
      </c>
      <c r="H16" s="99" t="inlineStr">
        <is>
          <t>3. Module Opex!B21 - SUBTOTAL: MAINTENANCE &amp; INSURANCE</t>
        </is>
      </c>
    </row>
    <row r="17">
      <c r="A17" s="31" t="inlineStr">
        <is>
          <t>Heat pump maintenance (% of HP capex)</t>
        </is>
      </c>
      <c r="B17" s="116" t="n">
        <v>0.02</v>
      </c>
      <c r="F17" s="98" t="inlineStr">
        <is>
          <t>Model ongoing maintenance expense</t>
        </is>
      </c>
      <c r="G17" s="99" t="inlineStr">
        <is>
          <t>Input parameter: Heat pump maintenance (% of HP capex)</t>
        </is>
      </c>
      <c r="H17" s="99" t="inlineStr">
        <is>
          <t>3. Module Opex!B18 - Heat pump maintenance (£/yr)</t>
        </is>
      </c>
    </row>
    <row r="18">
      <c r="A18" s="31" t="inlineStr">
        <is>
          <t>Heat pump maintenance (£/yr)</t>
        </is>
      </c>
      <c r="B18" s="37">
        <f>IF('1. Module Criteria'!B15=1,'2. Module Capex'!B53*B17,0)</f>
        <v/>
      </c>
      <c r="F18" s="98" t="inlineStr">
        <is>
          <t>Model ongoing maintenance expense</t>
        </is>
      </c>
      <c r="G18" s="99" t="inlineStr">
        <is>
          <t>Conditional logic for Heat pump maintenance (£/yr)</t>
        </is>
      </c>
      <c r="H18" s="99" t="inlineStr">
        <is>
          <t>3. Module Opex!B21 - SUBTOTAL: MAINTENANCE &amp; INSURANCE</t>
        </is>
      </c>
    </row>
    <row r="19">
      <c r="A19" s="31" t="inlineStr">
        <is>
          <t>Insurance (% of total capex)</t>
        </is>
      </c>
      <c r="B19" s="116" t="n">
        <v>0.01</v>
      </c>
      <c r="F19" s="98" t="inlineStr">
        <is>
          <t>Model insurance expense</t>
        </is>
      </c>
      <c r="G19" s="99" t="inlineStr">
        <is>
          <t>Input parameter: Insurance (% of total capex)</t>
        </is>
      </c>
      <c r="H19" s="99" t="inlineStr">
        <is>
          <t>3. Module Opex!B20 - Insurance (£/yr)</t>
        </is>
      </c>
    </row>
    <row r="20">
      <c r="A20" s="31" t="inlineStr">
        <is>
          <t>Insurance (£/yr)</t>
        </is>
      </c>
      <c r="B20" s="37">
        <f>'2. Module Capex'!B66*B19</f>
        <v/>
      </c>
      <c r="F20" s="98" t="inlineStr">
        <is>
          <t>Model insurance expense</t>
        </is>
      </c>
      <c r="G20" s="99" t="inlineStr">
        <is>
          <t>Formula: Insurance (£/yr)</t>
        </is>
      </c>
      <c r="H20" s="99" t="inlineStr">
        <is>
          <t>3. Module Opex!B21 - SUBTOTAL: MAINTENANCE &amp; INSURANCE</t>
        </is>
      </c>
    </row>
    <row r="21">
      <c r="A21" s="41" t="inlineStr">
        <is>
          <t>SUBTOTAL: MAINTENANCE &amp; INSURANCE</t>
        </is>
      </c>
      <c r="B21" s="43">
        <f>B16+B18+B20</f>
        <v/>
      </c>
      <c r="C21" s="41" t="n"/>
      <c r="D21" s="41" t="n"/>
      <c r="E21" s="41" t="n"/>
      <c r="F21" s="94" t="inlineStr">
        <is>
          <t>Subtotal maintenance and insurance</t>
        </is>
      </c>
      <c r="G21" s="94" t="inlineStr">
        <is>
          <t>Calculated from upstream values for SUBTOTAL: MAINTENANCE &amp; INSURANCE</t>
        </is>
      </c>
      <c r="H21" s="94" t="inlineStr">
        <is>
          <t>3. Module Opex!B29 - TOTAL MODULE OPEX (£/yr); 7. System Opex!B15 - Maintenance &amp; insurance</t>
        </is>
      </c>
    </row>
    <row r="22">
      <c r="F22" s="98" t="n"/>
      <c r="G22" s="99" t="n"/>
      <c r="H22" s="99" t="n"/>
    </row>
    <row r="23">
      <c r="A23" s="15" t="inlineStr">
        <is>
          <t>OTHER OPERATING COSTS</t>
        </is>
      </c>
      <c r="B23" s="15" t="n"/>
      <c r="C23" s="15" t="n"/>
      <c r="D23" s="15" t="n"/>
      <c r="E23" s="15" t="n"/>
      <c r="F23" s="97" t="n"/>
      <c r="G23" s="97" t="n"/>
      <c r="H23" s="97" t="n"/>
    </row>
    <row r="24">
      <c r="A24" s="31" t="inlineStr">
        <is>
          <t>Site lease/licence (£/yr)</t>
        </is>
      </c>
      <c r="B24" s="28" t="n">
        <v>15000</v>
      </c>
      <c r="D24" t="inlineStr">
        <is>
          <t>Payment to industrial host (if any)</t>
        </is>
      </c>
      <c r="F24" s="98" t="inlineStr">
        <is>
          <t>Model overhead operating expenses</t>
        </is>
      </c>
      <c r="G24" s="99" t="inlineStr">
        <is>
          <t>Input assumption: Site lease/licence (£/yr)</t>
        </is>
      </c>
      <c r="H24" s="99" t="inlineStr">
        <is>
          <t>3. Module Opex!B27 - SUBTOTAL: OTHER</t>
        </is>
      </c>
    </row>
    <row r="25">
      <c r="A25" s="31" t="inlineStr">
        <is>
          <t>Remote monitoring &amp; NOC (£/yr)</t>
        </is>
      </c>
      <c r="B25" s="28" t="n">
        <v>12000</v>
      </c>
      <c r="D25" t="inlineStr">
        <is>
          <t>24/7 monitoring, allocated headcount</t>
        </is>
      </c>
      <c r="F25" s="98" t="inlineStr">
        <is>
          <t>Model overhead operating expenses</t>
        </is>
      </c>
      <c r="G25" s="99" t="inlineStr">
        <is>
          <t>Input assumption: Remote monitoring &amp; NOC (£/yr)</t>
        </is>
      </c>
      <c r="H25" s="99" t="n"/>
    </row>
    <row r="26">
      <c r="A26" s="31" t="inlineStr">
        <is>
          <t>Connectivity &amp; admin (£/yr)</t>
        </is>
      </c>
      <c r="B26" s="28" t="n">
        <v>8000</v>
      </c>
      <c r="F26" s="98" t="inlineStr">
        <is>
          <t>Model overhead operating expenses</t>
        </is>
      </c>
      <c r="G26" s="99" t="inlineStr">
        <is>
          <t>Input assumption: Connectivity &amp; admin (£/yr)</t>
        </is>
      </c>
      <c r="H26" s="99" t="inlineStr">
        <is>
          <t>3. Module Opex!B27 - SUBTOTAL: OTHER</t>
        </is>
      </c>
    </row>
    <row r="27">
      <c r="A27" s="41" t="inlineStr">
        <is>
          <t>SUBTOTAL: OTHER</t>
        </is>
      </c>
      <c r="B27" s="43">
        <f>SUM(B24:B26)</f>
        <v/>
      </c>
      <c r="C27" s="41" t="n"/>
      <c r="D27" s="41" t="n"/>
      <c r="E27" s="41" t="n"/>
      <c r="F27" s="94" t="inlineStr">
        <is>
          <t>Subtotal other operating costs</t>
        </is>
      </c>
      <c r="G27" s="94" t="inlineStr">
        <is>
          <t>Sum of component values for SUBTOTAL: OTHER</t>
        </is>
      </c>
      <c r="H27" s="94" t="inlineStr">
        <is>
          <t>3. Module Opex!B29 - TOTAL MODULE OPEX (£/yr); 7. System Opex!B16 - Other (site, NOC, admin)</t>
        </is>
      </c>
    </row>
    <row r="28">
      <c r="F28" s="98" t="n"/>
      <c r="G28" s="99" t="n"/>
      <c r="H28" s="99" t="n"/>
    </row>
    <row r="29">
      <c r="A29" s="94" t="inlineStr">
        <is>
          <t>TOTAL MODULE OPEX (£/yr)</t>
        </is>
      </c>
      <c r="B29" s="95">
        <f>B10+B21+B27</f>
        <v/>
      </c>
      <c r="C29" s="94" t="n"/>
      <c r="D29" s="94" t="n"/>
      <c r="E29" s="94" t="n"/>
      <c r="F29" s="94" t="inlineStr">
        <is>
          <t>Sum operating costs for profitability analysis</t>
        </is>
      </c>
      <c r="G29" s="94" t="inlineStr">
        <is>
          <t>Calculated from upstream values for TOTAL MODULE OPEX (£/yr)</t>
        </is>
      </c>
      <c r="H29" s="94" t="inlineStr">
        <is>
          <t>7. System Opex!B17 - TOTAL PER MODULE</t>
        </is>
      </c>
    </row>
    <row r="30">
      <c r="F30" s="98" t="n"/>
      <c r="G30" s="99" t="n"/>
      <c r="H30" s="99" t="n"/>
    </row>
    <row r="31">
      <c r="A31" s="31" t="inlineStr">
        <is>
          <t>Note: Revenue and P&amp;L calculations moved to System P&amp;L sheet</t>
        </is>
      </c>
      <c r="B31" s="9" t="n"/>
      <c r="C31" s="9" t="n"/>
      <c r="F31" s="98" t="inlineStr">
        <is>
          <t>Model parameter</t>
        </is>
      </c>
      <c r="G31" s="99" t="inlineStr">
        <is>
          <t>Row label only</t>
        </is>
      </c>
      <c r="H31" s="99" t="n"/>
    </row>
    <row r="32">
      <c r="A32" s="31" t="inlineStr">
        <is>
          <t>Module-level revenue is theoretical; actual revenue depends on buyer absorption</t>
        </is>
      </c>
      <c r="B32" s="10" t="n"/>
      <c r="C32" s="9" t="n"/>
      <c r="F32" s="98" t="inlineStr">
        <is>
          <t>Model parameter</t>
        </is>
      </c>
      <c r="G32" s="99" t="inlineStr">
        <is>
          <t>Row label only</t>
        </is>
      </c>
      <c r="H32" s="99" t="n"/>
    </row>
    <row r="33">
      <c r="A33" s="9" t="n"/>
      <c r="B33" s="10" t="n"/>
      <c r="C33" s="9" t="n"/>
      <c r="F33" s="98" t="n"/>
      <c r="G33" s="99" t="n"/>
      <c r="H33" s="99" t="n"/>
    </row>
    <row r="34">
      <c r="A34" s="9" t="n"/>
      <c r="B34" s="10" t="n"/>
      <c r="C34" s="9" t="n"/>
      <c r="F34" s="98" t="n"/>
      <c r="G34" s="99" t="n"/>
      <c r="H34" s="99" t="n"/>
    </row>
    <row r="35">
      <c r="A35" s="9" t="n"/>
      <c r="B35" s="9" t="n"/>
      <c r="C35" s="9" t="n"/>
      <c r="F35" s="98" t="n"/>
      <c r="G35" s="99" t="n"/>
      <c r="H35" s="99" t="n"/>
    </row>
    <row r="36">
      <c r="A36" s="9" t="n"/>
      <c r="B36" s="10" t="n"/>
      <c r="C36" s="9" t="n"/>
      <c r="F36" s="98" t="n"/>
      <c r="G36" s="99" t="n"/>
      <c r="H36" s="99" t="n"/>
    </row>
    <row r="37">
      <c r="A37" s="9" t="n"/>
      <c r="B37" s="11" t="n"/>
      <c r="C37" s="9" t="n"/>
      <c r="F37" s="98" t="n"/>
      <c r="G37" s="99" t="n"/>
      <c r="H37" s="99" t="n"/>
    </row>
    <row r="38">
      <c r="A38" s="9" t="n"/>
      <c r="B38" s="9" t="n"/>
      <c r="C38" s="9" t="n"/>
      <c r="F38" s="98" t="n"/>
      <c r="G38" s="99" t="n"/>
      <c r="H38" s="99" t="n"/>
    </row>
    <row r="39">
      <c r="A39" s="9" t="n"/>
      <c r="B39" s="12" t="n"/>
      <c r="C39" s="9" t="n"/>
      <c r="F39" s="98" t="n"/>
      <c r="G39" s="99" t="n"/>
      <c r="H39" s="99" t="n"/>
    </row>
    <row r="40">
      <c r="A40" s="9" t="n"/>
      <c r="B40" s="16" t="n"/>
      <c r="F40" s="98" t="n"/>
      <c r="G40" s="99" t="n"/>
      <c r="H40" s="9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E38" sqref="E38"/>
    </sheetView>
  </sheetViews>
  <sheetFormatPr baseColWidth="10" defaultColWidth="8.83203125" defaultRowHeight="15"/>
  <cols>
    <col width="38" customWidth="1" min="1" max="1"/>
    <col width="15" customWidth="1" min="2" max="2"/>
    <col width="12" customWidth="1" min="3" max="3"/>
    <col width="45" customWidth="1" min="4" max="4"/>
    <col width="45" customWidth="1" min="6" max="6"/>
    <col width="50" customWidth="1" min="7" max="7"/>
    <col width="60" customWidth="1" min="8" max="8"/>
  </cols>
  <sheetData>
    <row r="1">
      <c r="A1" s="15" t="inlineStr">
        <is>
          <t>MODULE FLOW ANALYSIS</t>
        </is>
      </c>
      <c r="B1" s="15" t="n"/>
      <c r="C1" s="15" t="n"/>
      <c r="D1" s="15" t="n"/>
      <c r="E1" s="15" t="n"/>
      <c r="F1" s="97" t="inlineStr">
        <is>
          <t>Intent</t>
        </is>
      </c>
      <c r="G1" s="97" t="inlineStr">
        <is>
          <t>Explanation</t>
        </is>
      </c>
      <c r="H1" s="97" t="inlineStr">
        <is>
          <t>Dependents</t>
        </is>
      </c>
    </row>
    <row r="2">
      <c r="A2" s="31" t="inlineStr">
        <is>
          <t>Hydraulic calculations for a single digital boiler module</t>
        </is>
      </c>
      <c r="F2" s="98" t="inlineStr">
        <is>
          <t>Model parameter</t>
        </is>
      </c>
      <c r="G2" s="99" t="inlineStr">
        <is>
          <t>Row label only</t>
        </is>
      </c>
      <c r="H2" s="99" t="n"/>
    </row>
    <row r="3">
      <c r="F3" s="98" t="n"/>
      <c r="G3" s="99" t="n"/>
      <c r="H3" s="99" t="n"/>
    </row>
    <row r="4">
      <c r="A4" s="15" t="inlineStr">
        <is>
          <t>CONSTANTS</t>
        </is>
      </c>
      <c r="B4" s="15" t="n"/>
      <c r="C4" s="15" t="n"/>
      <c r="D4" s="15" t="n"/>
      <c r="E4" s="15" t="n"/>
      <c r="F4" s="97" t="n"/>
      <c r="G4" s="97" t="n"/>
      <c r="H4" s="97" t="n"/>
    </row>
    <row r="5">
      <c r="A5" s="31" t="inlineStr">
        <is>
          <t>Specific heat of water (kJ/kg·K)</t>
        </is>
      </c>
      <c r="B5" s="25" t="n">
        <v>4.18</v>
      </c>
      <c r="F5" s="98" t="inlineStr">
        <is>
          <t>Model parameter</t>
        </is>
      </c>
      <c r="G5" s="99" t="inlineStr">
        <is>
          <t>Input parameter: Specific heat of water (kJ/kg·K)</t>
        </is>
      </c>
      <c r="H5" s="99" t="inlineStr">
        <is>
          <t>4. Module Flow!B14 - Mass flow rate (kg/s); 4. Module Flow!B24 - Mass flow rate (kg/s)</t>
        </is>
      </c>
    </row>
    <row r="6">
      <c r="A6" s="31" t="inlineStr">
        <is>
          <t>Water density (kg/L)</t>
        </is>
      </c>
      <c r="B6" s="27" t="n">
        <v>1</v>
      </c>
      <c r="F6" s="98" t="inlineStr">
        <is>
          <t>Model parameter</t>
        </is>
      </c>
      <c r="G6" s="99" t="inlineStr">
        <is>
          <t>Flag enabled for Water density (kg/L)</t>
        </is>
      </c>
      <c r="H6" s="99" t="inlineStr">
        <is>
          <t>4. Module Flow!B15 - Volume flow rate (L/s); 4. Module Flow!B25 - Volume flow rate (L/s)</t>
        </is>
      </c>
    </row>
    <row r="7">
      <c r="F7" s="98" t="n"/>
      <c r="G7" s="99" t="n"/>
      <c r="H7" s="99" t="n"/>
    </row>
    <row r="8">
      <c r="A8" s="15" t="inlineStr">
        <is>
          <t>SOURCE LOOP (Servers → Heat Pump)</t>
        </is>
      </c>
      <c r="B8" s="15" t="n"/>
      <c r="C8" s="15" t="n"/>
      <c r="D8" s="15" t="n"/>
      <c r="E8" s="15" t="n"/>
      <c r="F8" s="97" t="inlineStr">
        <is>
          <t>Model parameter</t>
        </is>
      </c>
      <c r="G8" s="97" t="n"/>
      <c r="H8" s="97" t="n"/>
    </row>
    <row r="9">
      <c r="A9" s="31" t="inlineStr">
        <is>
          <t>Thermal power (kWth)</t>
        </is>
      </c>
      <c r="B9" s="30">
        <f>'1. Module Criteria'!B11</f>
        <v/>
      </c>
      <c r="D9" t="inlineStr">
        <is>
          <t>Heat captured from servers</t>
        </is>
      </c>
      <c r="F9" s="98" t="inlineStr">
        <is>
          <t>Pull heat load for flow calculations</t>
        </is>
      </c>
      <c r="G9" s="99" t="inlineStr">
        <is>
          <t>Pulls value from 1. Module Criteria!B11</t>
        </is>
      </c>
      <c r="H9" s="99" t="inlineStr">
        <is>
          <t>4. Module Flow!B14 - Mass flow rate (kg/s)</t>
        </is>
      </c>
    </row>
    <row r="10">
      <c r="A10" s="31" t="inlineStr">
        <is>
          <t>Inlet temperature (°C)</t>
        </is>
      </c>
      <c r="B10" s="31">
        <f>'1. Module Criteria'!B12</f>
        <v/>
      </c>
      <c r="F10" s="98" t="inlineStr">
        <is>
          <t>Define temperature differential for flow sizing</t>
        </is>
      </c>
      <c r="G10" s="99" t="inlineStr">
        <is>
          <t>Pulls value from 1. Module Criteria!B12</t>
        </is>
      </c>
      <c r="H10" s="99" t="inlineStr">
        <is>
          <t>4. Module Flow!B12 - Outlet temperature (°C)</t>
        </is>
      </c>
    </row>
    <row r="11">
      <c r="A11" s="31" t="inlineStr">
        <is>
          <t>Source loop ΔT (°C)</t>
        </is>
      </c>
      <c r="B11" s="64">
        <f>IF('0. Rack Profile'!B17="Direct-to-Chip (DTC)",'11. Reference Data'!E23,IF('0. Rack Profile'!B17="Single-Phase Immersion",'11. Reference Data'!E24,IF('0. Rack Profile'!B17="Two-Phase Immersion",'11. Reference Data'!E25,IF('0. Rack Profile'!B17="Rear Door Heat Exchanger",'11. Reference Data'!E26,'11. Reference Data'!E27))))</f>
        <v/>
      </c>
      <c r="C11" t="inlineStr">
        <is>
          <t>From cooling method (Reference Data)</t>
        </is>
      </c>
      <c r="D11" t="inlineStr">
        <is>
          <t>Temperature drop across HP evaporator</t>
        </is>
      </c>
      <c r="F11" s="98" t="inlineStr">
        <is>
          <t>Set temperature drop across heat source</t>
        </is>
      </c>
      <c r="G11" s="99" t="inlineStr">
        <is>
          <t>Conditional logic for Source loop ΔT (°C)</t>
        </is>
      </c>
      <c r="H11" s="99" t="inlineStr">
        <is>
          <t>4. Module Flow!B12 - Outlet temperature (°C); 4. Module Flow!B14 - Mass flow rate (kg/s)</t>
        </is>
      </c>
    </row>
    <row r="12">
      <c r="A12" s="31" t="inlineStr">
        <is>
          <t>Outlet temperature (°C)</t>
        </is>
      </c>
      <c r="B12" s="31">
        <f>B10-B11</f>
        <v/>
      </c>
      <c r="F12" s="98" t="inlineStr">
        <is>
          <t>Define temperature differential for flow sizing</t>
        </is>
      </c>
      <c r="G12" s="99" t="inlineStr">
        <is>
          <t>Calculated from upstream values for Outlet temperature (°C)</t>
        </is>
      </c>
      <c r="H12" s="99" t="n"/>
    </row>
    <row r="13">
      <c r="F13" s="98" t="n"/>
      <c r="G13" s="99" t="n"/>
      <c r="H13" s="99" t="n"/>
    </row>
    <row r="14">
      <c r="A14" s="31" t="inlineStr">
        <is>
          <t>Mass flow rate (kg/s)</t>
        </is>
      </c>
      <c r="B14" s="38">
        <f>B9/(B5*B11)</f>
        <v/>
      </c>
      <c r="F14" s="98" t="inlineStr">
        <is>
          <t>Calculate required fluid flow rate</t>
        </is>
      </c>
      <c r="G14" s="99" t="inlineStr">
        <is>
          <t>Calculated from upstream values for Mass flow rate (kg/s)</t>
        </is>
      </c>
      <c r="H14" s="99" t="inlineStr">
        <is>
          <t>4. Module Flow!B15 - Volume flow rate (L/s)</t>
        </is>
      </c>
    </row>
    <row r="15">
      <c r="A15" s="31" t="inlineStr">
        <is>
          <t>Volume flow rate (L/s)</t>
        </is>
      </c>
      <c r="B15" s="38">
        <f>B14/B6</f>
        <v/>
      </c>
      <c r="F15" s="98" t="inlineStr">
        <is>
          <t>Convert to volumetric flow for pipe sizing</t>
        </is>
      </c>
      <c r="G15" s="99" t="inlineStr">
        <is>
          <t>Calculated from upstream values for Volume flow rate (L/s)</t>
        </is>
      </c>
      <c r="H15" s="99" t="inlineStr">
        <is>
          <t>4. Module Flow!B16 - Volume flow rate (m³/hr); 4. Module Flow!B30 - Source loop pipe ID (mm)</t>
        </is>
      </c>
    </row>
    <row r="16">
      <c r="A16" s="31" t="inlineStr">
        <is>
          <t>Volume flow rate (m³/hr)</t>
        </is>
      </c>
      <c r="B16" s="39">
        <f>B15*3.6</f>
        <v/>
      </c>
      <c r="F16" s="98" t="inlineStr">
        <is>
          <t>Convert to volumetric flow for pipe sizing</t>
        </is>
      </c>
      <c r="G16" s="99" t="inlineStr">
        <is>
          <t>Calculated from upstream values for Volume flow rate (m³/hr)</t>
        </is>
      </c>
      <c r="H16" s="99" t="n"/>
    </row>
    <row r="17">
      <c r="F17" s="98" t="n"/>
      <c r="G17" s="99" t="n"/>
      <c r="H17" s="99" t="n"/>
    </row>
    <row r="18">
      <c r="A18" s="15" t="inlineStr">
        <is>
          <t>SINK LOOP (Heat Pump → Industrial Partner)</t>
        </is>
      </c>
      <c r="B18" s="15" t="n"/>
      <c r="C18" s="15" t="n"/>
      <c r="D18" s="15" t="n"/>
      <c r="E18" s="15" t="n"/>
      <c r="F18" s="97" t="inlineStr">
        <is>
          <t>Model parameter</t>
        </is>
      </c>
      <c r="G18" s="97" t="n"/>
      <c r="H18" s="97" t="n"/>
    </row>
    <row r="19">
      <c r="A19" s="31" t="inlineStr">
        <is>
          <t>Thermal power delivered (kWth)</t>
        </is>
      </c>
      <c r="B19" s="30">
        <f>'1. Module Criteria'!B21</f>
        <v/>
      </c>
      <c r="D19" t="inlineStr">
        <is>
          <t>With HP: includes compressor work</t>
        </is>
      </c>
      <c r="F19" s="98" t="inlineStr">
        <is>
          <t>Pull heat load for flow calculations</t>
        </is>
      </c>
      <c r="G19" s="99" t="inlineStr">
        <is>
          <t>Pulls value from 1. Module Criteria!B21</t>
        </is>
      </c>
      <c r="H19" s="99" t="inlineStr">
        <is>
          <t>4. Module Flow!B24 - Mass flow rate (kg/s); 4. Module Flow!B37 - Thermal capacity (kWth)</t>
        </is>
      </c>
    </row>
    <row r="20">
      <c r="A20" s="31" t="inlineStr">
        <is>
          <t>Outlet temperature (°C)</t>
        </is>
      </c>
      <c r="B20" s="31">
        <f>'1. Module Criteria'!B22</f>
        <v/>
      </c>
      <c r="F20" s="98" t="inlineStr">
        <is>
          <t>Define temperature differential for flow sizing</t>
        </is>
      </c>
      <c r="G20" s="99" t="inlineStr">
        <is>
          <t>Pulls value from 1. Module Criteria!B22</t>
        </is>
      </c>
      <c r="H20" s="99" t="inlineStr">
        <is>
          <t>4. Module Flow!B22 - Return temperature (°C); 4. Module Flow!B38 - Delivery temperature (°C)</t>
        </is>
      </c>
    </row>
    <row r="21">
      <c r="A21" s="31" t="inlineStr">
        <is>
          <t>Sink loop ΔT (°C)</t>
        </is>
      </c>
      <c r="B21" s="27" t="n">
        <v>10</v>
      </c>
      <c r="D21" t="inlineStr">
        <is>
          <t>HP design assumption (process ΔT used in Buyer Profile)</t>
        </is>
      </c>
      <c r="F21" s="98" t="inlineStr">
        <is>
          <t>Model parameter</t>
        </is>
      </c>
      <c r="G21" s="99" t="inlineStr">
        <is>
          <t>Input parameter: Sink loop ΔT (°C)</t>
        </is>
      </c>
      <c r="H21" s="99" t="inlineStr">
        <is>
          <t>4. Module Flow!B22 - Return temperature (°C); 4. Module Flow!B24 - Mass flow rate (kg/s)</t>
        </is>
      </c>
    </row>
    <row r="22">
      <c r="A22" s="31" t="inlineStr">
        <is>
          <t>Return temperature (°C)</t>
        </is>
      </c>
      <c r="B22" s="31">
        <f>B20-B21</f>
        <v/>
      </c>
      <c r="F22" s="98" t="inlineStr">
        <is>
          <t>Calculate return water temperature</t>
        </is>
      </c>
      <c r="G22" s="99" t="inlineStr">
        <is>
          <t>Calculated from upstream values for Return temperature (°C)</t>
        </is>
      </c>
      <c r="H22" s="99" t="n"/>
    </row>
    <row r="23">
      <c r="F23" s="98" t="n"/>
      <c r="G23" s="99" t="n"/>
      <c r="H23" s="99" t="n"/>
    </row>
    <row r="24">
      <c r="A24" s="31" t="inlineStr">
        <is>
          <t>Mass flow rate (kg/s)</t>
        </is>
      </c>
      <c r="B24" s="38">
        <f>B19/(B5*B21)</f>
        <v/>
      </c>
      <c r="F24" s="98" t="inlineStr">
        <is>
          <t>Calculate required fluid flow rate</t>
        </is>
      </c>
      <c r="G24" s="99" t="inlineStr">
        <is>
          <t>Calculated from upstream values for Mass flow rate (kg/s)</t>
        </is>
      </c>
      <c r="H24" s="99" t="inlineStr">
        <is>
          <t>4. Module Flow!B25 - Volume flow rate (L/s)</t>
        </is>
      </c>
    </row>
    <row r="25">
      <c r="A25" s="31" t="inlineStr">
        <is>
          <t>Volume flow rate (L/s)</t>
        </is>
      </c>
      <c r="B25" s="38">
        <f>B24/B6</f>
        <v/>
      </c>
      <c r="F25" s="98" t="inlineStr">
        <is>
          <t>Convert to volumetric flow for pipe sizing</t>
        </is>
      </c>
      <c r="G25" s="99" t="inlineStr">
        <is>
          <t>Calculated from upstream values for Volume flow rate (L/s)</t>
        </is>
      </c>
      <c r="H25" s="99" t="inlineStr">
        <is>
          <t>4. Module Flow!B26 - Volume flow rate (m³/hr); 4. Module Flow!B31 - Sink loop pipe ID (mm)</t>
        </is>
      </c>
    </row>
    <row r="26">
      <c r="A26" s="31" t="inlineStr">
        <is>
          <t>Volume flow rate (m³/hr)</t>
        </is>
      </c>
      <c r="B26" s="39">
        <f>B25*3.6</f>
        <v/>
      </c>
      <c r="F26" s="98" t="inlineStr">
        <is>
          <t>Convert to volumetric flow for pipe sizing</t>
        </is>
      </c>
      <c r="G26" s="99" t="inlineStr">
        <is>
          <t>Calculated from upstream values for Volume flow rate (m³/hr)</t>
        </is>
      </c>
      <c r="H26" s="99" t="inlineStr">
        <is>
          <t>4. Module Flow!B39 - Flow capacity (m³/hr); 5. Buyer Profile!B30 - Module flow capacity (m³/hr)</t>
        </is>
      </c>
    </row>
    <row r="27">
      <c r="F27" s="98" t="n"/>
      <c r="G27" s="99" t="n"/>
      <c r="H27" s="99" t="n"/>
    </row>
    <row r="28">
      <c r="A28" s="15" t="inlineStr">
        <is>
          <t>PIPE SIZING GUIDANCE</t>
        </is>
      </c>
      <c r="B28" s="15" t="n"/>
      <c r="C28" s="15" t="n"/>
      <c r="D28" s="15" t="n"/>
      <c r="E28" s="15" t="n"/>
      <c r="F28" s="97" t="n"/>
      <c r="G28" s="97" t="n"/>
      <c r="H28" s="97" t="n"/>
    </row>
    <row r="29">
      <c r="A29" s="31" t="inlineStr">
        <is>
          <t>Design velocity (m/s)</t>
        </is>
      </c>
      <c r="B29" s="27" t="n">
        <v>2</v>
      </c>
      <c r="D29" t="inlineStr">
        <is>
          <t>Typical: 1.5-3 m/s</t>
        </is>
      </c>
      <c r="F29" s="98" t="inlineStr">
        <is>
          <t>Model parameter</t>
        </is>
      </c>
      <c r="G29" s="99" t="inlineStr">
        <is>
          <t>Input parameter: Design velocity (m/s)</t>
        </is>
      </c>
      <c r="H29" s="99" t="inlineStr">
        <is>
          <t>4. Module Flow!B30 - Source loop pipe ID (mm); 4. Module Flow!B31 - Sink loop pipe ID (mm)</t>
        </is>
      </c>
    </row>
    <row r="30">
      <c r="A30" s="31" t="inlineStr">
        <is>
          <t>Source loop pipe ID (mm)</t>
        </is>
      </c>
      <c r="B30" s="40">
        <f>SQRT((B15/1000)/(B29*3.14159/4))*1000</f>
        <v/>
      </c>
      <c r="F30" s="98" t="inlineStr">
        <is>
          <t>Size piping for required flow</t>
        </is>
      </c>
      <c r="G30" s="99" t="inlineStr">
        <is>
          <t>Square root calculation for Source loop pipe ID (mm)</t>
        </is>
      </c>
      <c r="H30" s="99" t="inlineStr">
        <is>
          <t>4. Module Flow!B33 - Source loop - nearest DN</t>
        </is>
      </c>
    </row>
    <row r="31">
      <c r="A31" s="31" t="inlineStr">
        <is>
          <t>Sink loop pipe ID (mm)</t>
        </is>
      </c>
      <c r="B31" s="40">
        <f>SQRT((B25/1000)/(B29*3.14159/4))*1000</f>
        <v/>
      </c>
      <c r="F31" s="98" t="inlineStr">
        <is>
          <t>Size piping for required flow</t>
        </is>
      </c>
      <c r="G31" s="99" t="inlineStr">
        <is>
          <t>Square root calculation for Sink loop pipe ID (mm)</t>
        </is>
      </c>
      <c r="H31" s="99" t="inlineStr">
        <is>
          <t>4. Module Flow!B34 - Sink loop - nearest DN</t>
        </is>
      </c>
    </row>
    <row r="32">
      <c r="F32" s="98" t="n"/>
      <c r="G32" s="99" t="n"/>
      <c r="H32" s="99" t="n"/>
    </row>
    <row r="33">
      <c r="A33" s="31" t="inlineStr">
        <is>
          <t>Source loop - nearest DN</t>
        </is>
      </c>
      <c r="B33" s="31">
        <f>IF(B30&lt;28,"DN25",IF(B30&lt;36,"DN32",IF(B30&lt;42,"DN40",IF(B30&lt;54,"DN50",IF(B30&lt;68,"DN65",IF(B30&lt;82,"DN80",IF(B30&lt;107,"DN100","DN125+")))))))</f>
        <v/>
      </c>
      <c r="F33" s="98" t="inlineStr">
        <is>
          <t>Select standard pipe size</t>
        </is>
      </c>
      <c r="G33" s="99" t="inlineStr">
        <is>
          <t>Conditional logic for Source loop - nearest DN</t>
        </is>
      </c>
      <c r="H33" s="99" t="n"/>
    </row>
    <row r="34">
      <c r="A34" s="31" t="inlineStr">
        <is>
          <t>Sink loop - nearest DN</t>
        </is>
      </c>
      <c r="B34" s="31">
        <f>IF(B31&lt;28,"DN25",IF(B31&lt;36,"DN32",IF(B31&lt;42,"DN40",IF(B31&lt;54,"DN50",IF(B31&lt;68,"DN65",IF(B31&lt;82,"DN80",IF(B31&lt;107,"DN100","DN125+")))))))</f>
        <v/>
      </c>
      <c r="F34" s="98" t="inlineStr">
        <is>
          <t>Select standard pipe size</t>
        </is>
      </c>
      <c r="G34" s="99" t="inlineStr">
        <is>
          <t>Conditional logic for Sink loop - nearest DN</t>
        </is>
      </c>
      <c r="H34" s="99" t="n"/>
    </row>
    <row r="35">
      <c r="F35" s="98" t="n"/>
      <c r="G35" s="99" t="n"/>
      <c r="H35" s="99" t="n"/>
    </row>
    <row r="36">
      <c r="A36" s="15" t="inlineStr">
        <is>
          <t>MODULE HYDRAULIC SUMMARY</t>
        </is>
      </c>
      <c r="B36" s="15" t="n"/>
      <c r="C36" s="15" t="n"/>
      <c r="D36" s="15" t="n"/>
      <c r="E36" s="15" t="n"/>
      <c r="F36" s="97" t="n"/>
      <c r="G36" s="97" t="n"/>
      <c r="H36" s="97" t="n"/>
    </row>
    <row r="37">
      <c r="A37" s="31" t="inlineStr">
        <is>
          <t>Thermal capacity (kWth)</t>
        </is>
      </c>
      <c r="B37" s="30">
        <f>B19</f>
        <v/>
      </c>
      <c r="F37" s="98" t="inlineStr">
        <is>
          <t>Summarise module heat delivery capability</t>
        </is>
      </c>
      <c r="G37" s="99" t="inlineStr">
        <is>
          <t>Formula: Thermal capacity (kWth)</t>
        </is>
      </c>
      <c r="H37" s="99" t="n"/>
    </row>
    <row r="38">
      <c r="A38" s="31" t="inlineStr">
        <is>
          <t>Delivery temperature (°C)</t>
        </is>
      </c>
      <c r="B38" s="31">
        <f>B20</f>
        <v/>
      </c>
      <c r="F38" s="98" t="inlineStr">
        <is>
          <t>Summarise module output temperature</t>
        </is>
      </c>
      <c r="G38" s="99" t="inlineStr">
        <is>
          <t>Formula: Delivery temperature (°C)</t>
        </is>
      </c>
      <c r="H38" s="99" t="n"/>
    </row>
    <row r="39">
      <c r="A39" s="31" t="inlineStr">
        <is>
          <t>Flow capacity (m³/hr)</t>
        </is>
      </c>
      <c r="B39" s="30">
        <f>B26</f>
        <v/>
      </c>
      <c r="F39" s="98" t="inlineStr">
        <is>
          <t>Summarise module flow capability</t>
        </is>
      </c>
      <c r="G39" s="99" t="inlineStr">
        <is>
          <t>Formula: Flow capacity (m³/hr)</t>
        </is>
      </c>
      <c r="H39" s="9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6"/>
  <sheetViews>
    <sheetView topLeftCell="A6" workbookViewId="0">
      <selection activeCell="C46" sqref="A46:XFD46"/>
    </sheetView>
  </sheetViews>
  <sheetFormatPr baseColWidth="10" defaultColWidth="8.83203125" defaultRowHeight="15"/>
  <cols>
    <col width="32" customWidth="1" min="1" max="1"/>
    <col width="59.6640625" bestFit="1" customWidth="1" style="78" min="2" max="2"/>
    <col width="51.83203125" bestFit="1" customWidth="1" min="3" max="3"/>
    <col width="30" customWidth="1" min="4" max="4"/>
    <col width="45" customWidth="1" min="6" max="6"/>
    <col width="50" customWidth="1" min="7" max="7"/>
    <col width="60" customWidth="1" min="8" max="8"/>
  </cols>
  <sheetData>
    <row r="1">
      <c r="A1" s="15" t="inlineStr">
        <is>
          <t>BUYER PROFILE</t>
        </is>
      </c>
      <c r="B1" s="77" t="n"/>
      <c r="C1" s="15" t="n"/>
      <c r="D1" s="15" t="n"/>
      <c r="E1" s="15" t="n"/>
      <c r="F1" s="97" t="inlineStr">
        <is>
          <t>Intent</t>
        </is>
      </c>
      <c r="G1" s="97" t="inlineStr">
        <is>
          <t>Explanation</t>
        </is>
      </c>
      <c r="H1" s="97" t="inlineStr">
        <is>
          <t>Dependents</t>
        </is>
      </c>
    </row>
    <row r="2">
      <c r="A2" s="31" t="inlineStr">
        <is>
          <t>Select an industrial process to see system requirements</t>
        </is>
      </c>
      <c r="F2" s="98" t="inlineStr">
        <is>
          <t>Model parameter</t>
        </is>
      </c>
      <c r="G2" s="99" t="inlineStr">
        <is>
          <t>Row label only</t>
        </is>
      </c>
      <c r="H2" s="99" t="n"/>
    </row>
    <row r="3">
      <c r="F3" s="98" t="n"/>
      <c r="G3" s="99" t="n"/>
      <c r="H3" s="99" t="n"/>
    </row>
    <row r="4">
      <c r="A4" s="15" t="inlineStr">
        <is>
          <t>HARDWARE CONFIGURATION</t>
        </is>
      </c>
      <c r="B4" s="77" t="n"/>
      <c r="C4" s="15" t="n"/>
      <c r="D4" s="15" t="n"/>
      <c r="E4" s="15" t="n"/>
      <c r="F4" s="97" t="n"/>
      <c r="G4" s="97" t="n"/>
      <c r="H4" s="97" t="n"/>
    </row>
    <row r="5">
      <c r="A5" s="31" t="inlineStr">
        <is>
          <t>Chipset</t>
        </is>
      </c>
      <c r="B5" s="76">
        <f>'0. Rack Profile'!B6</f>
        <v/>
      </c>
      <c r="F5" s="98" t="inlineStr">
        <is>
          <t>Pull system configuration for context</t>
        </is>
      </c>
      <c r="G5" s="99" t="inlineStr">
        <is>
          <t>Pulls value from 0. Rack Profile!B6</t>
        </is>
      </c>
      <c r="H5" s="99" t="n"/>
    </row>
    <row r="6">
      <c r="A6" s="31" t="inlineStr">
        <is>
          <t>Cooling method</t>
        </is>
      </c>
      <c r="B6" s="76">
        <f>'0. Rack Profile'!B17</f>
        <v/>
      </c>
      <c r="F6" s="98" t="inlineStr">
        <is>
          <t>Pull system configuration for context</t>
        </is>
      </c>
      <c r="G6" s="99" t="inlineStr">
        <is>
          <t>Pulls value from 0. Rack Profile!B17</t>
        </is>
      </c>
      <c r="H6" s="99" t="n"/>
    </row>
    <row r="7">
      <c r="A7" s="31" t="inlineStr">
        <is>
          <t>GPUs per module</t>
        </is>
      </c>
      <c r="B7" s="76">
        <f>'0. Rack Profile'!B39</f>
        <v/>
      </c>
      <c r="F7" s="98" t="inlineStr">
        <is>
          <t>Pull system configuration for context</t>
        </is>
      </c>
      <c r="G7" s="99" t="inlineStr">
        <is>
          <t>Pulls value from 0. Rack Profile!B39</t>
        </is>
      </c>
      <c r="H7" s="99" t="n"/>
    </row>
    <row r="8">
      <c r="A8" s="31" t="inlineStr">
        <is>
          <t>Module IT capacity (kW)</t>
        </is>
      </c>
      <c r="B8" s="79">
        <f>'0. Rack Profile'!B40</f>
        <v/>
      </c>
      <c r="F8" s="98" t="inlineStr">
        <is>
          <t>Pull module size for calculations</t>
        </is>
      </c>
      <c r="G8" s="99" t="inlineStr">
        <is>
          <t>Pulls value from 0. Rack Profile!B40</t>
        </is>
      </c>
      <c r="H8" s="99" t="n"/>
    </row>
    <row r="9">
      <c r="F9" s="98" t="n"/>
      <c r="G9" s="99" t="n"/>
      <c r="H9" s="99" t="n"/>
    </row>
    <row r="10">
      <c r="A10" s="15" t="inlineStr">
        <is>
          <t>PROCESS SELECTION</t>
        </is>
      </c>
      <c r="B10" s="77" t="n"/>
      <c r="C10" s="15" t="n"/>
      <c r="D10" s="15" t="n"/>
      <c r="E10" s="15" t="n"/>
      <c r="F10" s="97" t="n"/>
      <c r="G10" s="97" t="n"/>
      <c r="H10" s="97" t="n"/>
    </row>
    <row r="11">
      <c r="A11" s="31" t="inlineStr">
        <is>
          <t>Select process</t>
        </is>
      </c>
      <c r="B11" s="93" t="inlineStr">
        <is>
          <t>Pasteurisation - Medium</t>
        </is>
      </c>
      <c r="F11" s="98" t="inlineStr">
        <is>
          <t>User input to select industrial heat buyer</t>
        </is>
      </c>
      <c r="G11" s="99" t="inlineStr">
        <is>
          <t>Text value for Select process</t>
        </is>
      </c>
      <c r="H11" s="99" t="inlineStr">
        <is>
          <t>5. Buyer Profile!B14 - Process name; 5. Buyer Profile!B15 - Size category; 5. Buyer Profile!B16 - Required temperature (°C); 5. Buyer Profile!B17 - Heat demand (kWth); 5. Buyer Profile!B18 - Operating hours/year; 5. Buyer Profile!B19 - Notes; 5. Buyer Profile!B20 - Source:; 5. Buyer Profile!B21 - Source URL:; 5. Buyer Profile!B24 - Process ΔT (°C); 6. System Capex!B10 - Selected buyer profile; ... and 3 more</t>
        </is>
      </c>
    </row>
    <row r="12">
      <c r="F12" s="98" t="n"/>
      <c r="G12" s="99" t="n"/>
      <c r="H12" s="99" t="n"/>
    </row>
    <row r="13">
      <c r="A13" s="15" t="inlineStr">
        <is>
          <t>SELECTED PROCESS PARAMETERS</t>
        </is>
      </c>
      <c r="B13" s="77" t="n"/>
      <c r="C13" s="15" t="n"/>
      <c r="D13" s="15" t="n"/>
      <c r="E13" s="15" t="n"/>
      <c r="F13" s="97" t="n"/>
      <c r="G13" s="97" t="n"/>
      <c r="H13" s="97" t="n"/>
    </row>
    <row r="14">
      <c r="A14" s="31" t="inlineStr">
        <is>
          <t>Process name</t>
        </is>
      </c>
      <c r="B14" s="76">
        <f>IFERROR(INDEX('12. Process Library'!A:A,MATCH(B11,'12. Process Library'!G:G,0)),"-")</f>
        <v/>
      </c>
      <c r="F14" s="98" t="inlineStr">
        <is>
          <t>Look up selected process details</t>
        </is>
      </c>
      <c r="G14" s="99" t="inlineStr">
        <is>
          <t>Lookup with error handling for Process name</t>
        </is>
      </c>
      <c r="H14" s="99" t="n"/>
    </row>
    <row r="15">
      <c r="A15" s="31" t="inlineStr">
        <is>
          <t>Size category</t>
        </is>
      </c>
      <c r="B15" s="76">
        <f>IFERROR(INDEX('12. Process Library'!B:B,MATCH(B11,'12. Process Library'!G:G,0)),"-")</f>
        <v/>
      </c>
      <c r="F15" s="98" t="inlineStr">
        <is>
          <t>Identify process scale</t>
        </is>
      </c>
      <c r="G15" s="99" t="inlineStr">
        <is>
          <t>Lookup with error handling for Size category</t>
        </is>
      </c>
      <c r="H15" s="99" t="n"/>
    </row>
    <row r="16">
      <c r="A16" s="31" t="inlineStr">
        <is>
          <t>Required temperature (°C)</t>
        </is>
      </c>
      <c r="B16" s="76">
        <f>IFERROR(INDEX('12. Process Library'!$C$4:$C$45,MATCH(B11,'12. Process Library'!$G$4:$G$45,0)),"")</f>
        <v/>
      </c>
      <c r="F16" s="98" t="inlineStr">
        <is>
          <t>Pull buyer's temperature requirement</t>
        </is>
      </c>
      <c r="G16" s="99" t="inlineStr">
        <is>
          <t>Lookup with error handling for Required temperature (°C)</t>
        </is>
      </c>
      <c r="H16" s="99" t="inlineStr">
        <is>
          <t>5. Buyer Profile!B32 - Temperature compatible?; 5. Buyer Profile!B69 - Heat pump required?; 5. Buyer Profile!B70 - Temperature lift required (K); 8. System Flow!B14 - Required temperature (°C)</t>
        </is>
      </c>
    </row>
    <row r="17">
      <c r="A17" s="31" t="inlineStr">
        <is>
          <t>Heat demand (kWth)</t>
        </is>
      </c>
      <c r="B17" s="79">
        <f>IFERROR(INDEX('12. Process Library'!$D$4:$D$45,MATCH(B11,'12. Process Library'!$G$4:$G$45,0)),"")</f>
        <v/>
      </c>
      <c r="F17" s="98" t="inlineStr">
        <is>
          <t>Pull buyer's thermal load requirement</t>
        </is>
      </c>
      <c r="G17" s="99" t="inlineStr">
        <is>
          <t>Lookup with error handling for Heat demand (kWth)</t>
        </is>
      </c>
      <c r="H17" s="99" t="inlineStr">
        <is>
          <t>5. Buyer Profile!B23 - Annual heat demand (MWh); 5. Buyer Profile!B25 - Required flow rate (m³/hr); 5. Buyer Profile!B33 - Modules needed (thermal); 5. Buyer Profile!B42 - Thermal utilisation (%); 5. Buyer Profile!B47 - Buyer heat absorption (kWth); 6. System Capex!B49 - Capex per kWth delivered (£/kWth); 8. System Flow!B15 - Required thermal load (kWth)</t>
        </is>
      </c>
    </row>
    <row r="18">
      <c r="A18" s="31" t="inlineStr">
        <is>
          <t>Operating hours/year</t>
        </is>
      </c>
      <c r="B18" s="79">
        <f>IFERROR(INDEX('12. Process Library'!$E$4:$E$45,MATCH(B11,'12. Process Library'!$G$4:$G$45,0)),"")</f>
        <v/>
      </c>
      <c r="F18" s="98" t="inlineStr">
        <is>
          <t>Pull buyer's usage pattern</t>
        </is>
      </c>
      <c r="G18" s="99" t="inlineStr">
        <is>
          <t>Lookup with error handling for Operating hours/year</t>
        </is>
      </c>
      <c r="H18" s="99" t="inlineStr">
        <is>
          <t>5. Buyer Profile!B23 - Annual heat demand (MWh); 7. System Opex!B33 - Annual operating hours; 8. System Flow!B23 - Annual heat supply (MWh); 9. System P&amp;L!B14 - Operating hours/year; 9. System P&amp;L!B21 - Buyer operating hours/year</t>
        </is>
      </c>
    </row>
    <row r="19">
      <c r="A19" s="31" t="inlineStr">
        <is>
          <t>Notes</t>
        </is>
      </c>
      <c r="B19" s="76">
        <f>IFERROR(INDEX('12. Process Library'!F:F,MATCH(B11,'12. Process Library'!G:G,0)),"-")</f>
        <v/>
      </c>
      <c r="F19" s="98" t="inlineStr">
        <is>
          <t>Pull process context information</t>
        </is>
      </c>
      <c r="G19" s="99" t="inlineStr">
        <is>
          <t>Lookup with error handling for Notes</t>
        </is>
      </c>
      <c r="H19" s="99" t="n"/>
    </row>
    <row r="20">
      <c r="A20" s="31" t="inlineStr">
        <is>
          <t>Source:</t>
        </is>
      </c>
      <c r="B20" s="76">
        <f>IFERROR(INDEX('12. Process Library'!$H$4:$H$45,MATCH(B11,'12. Process Library'!$G$4:$G$45,0)),"")</f>
        <v/>
      </c>
      <c r="F20" s="98" t="inlineStr">
        <is>
          <t>Reference data provenance</t>
        </is>
      </c>
      <c r="G20" s="99" t="inlineStr">
        <is>
          <t>Lookup with error handling for Source:</t>
        </is>
      </c>
      <c r="H20" s="99" t="n"/>
    </row>
    <row r="21">
      <c r="A21" s="41" t="inlineStr">
        <is>
          <t>Source URL:</t>
        </is>
      </c>
      <c r="B21" s="81">
        <f>IFERROR(INDEX('12. Process Library'!$J$4:$J$45,MATCH(B11,'12. Process Library'!$G$4:$G$45,0)),"")</f>
        <v/>
      </c>
      <c r="C21" s="19" t="n"/>
      <c r="D21" s="19" t="n"/>
      <c r="E21" s="19" t="n"/>
      <c r="F21" s="94" t="inlineStr">
        <is>
          <t>Reference data provenance</t>
        </is>
      </c>
      <c r="G21" s="94" t="inlineStr">
        <is>
          <t>Lookup with error handling for Source URL:</t>
        </is>
      </c>
      <c r="H21" s="94" t="n"/>
    </row>
    <row r="23">
      <c r="A23" s="15" t="inlineStr">
        <is>
          <t>CALCULATED DEMAND</t>
        </is>
      </c>
      <c r="B23" s="77" t="n"/>
      <c r="C23" s="15" t="n"/>
      <c r="D23" s="15" t="n"/>
      <c r="E23" s="15" t="n"/>
      <c r="F23" s="97" t="n"/>
      <c r="G23" s="97" t="n"/>
      <c r="H23" s="97" t="n"/>
    </row>
    <row r="24">
      <c r="A24" s="31" t="inlineStr">
        <is>
          <t>Annual heat demand (MWh)</t>
        </is>
      </c>
      <c r="B24" s="82">
        <f>B17*B18/1000</f>
        <v/>
      </c>
      <c r="F24" s="98" t="inlineStr">
        <is>
          <t>Pull buyer's thermal load requirement</t>
        </is>
      </c>
      <c r="G24" s="99" t="inlineStr">
        <is>
          <t>Calculated from upstream values for Annual heat demand (MWh)</t>
        </is>
      </c>
      <c r="H24" s="99" t="inlineStr">
        <is>
          <t>8. System Flow!B17 - Annual heat demand (MWh)</t>
        </is>
      </c>
    </row>
    <row r="25">
      <c r="A25" s="31" t="inlineStr">
        <is>
          <t>Process ΔT (°C)</t>
        </is>
      </c>
      <c r="B25" s="76">
        <f>IFERROR(INDEX('12. Process Library'!$I$4:$I$45,MATCH(B11,'12. Process Library'!$G$4:$G$45,0)),10)</f>
        <v/>
      </c>
      <c r="C25" t="inlineStr">
        <is>
          <t>From Process Library (default 10 if not found)</t>
        </is>
      </c>
      <c r="D25" t="inlineStr">
        <is>
          <t>Conservative assumption for flow calculation</t>
        </is>
      </c>
      <c r="F25" s="98" t="inlineStr">
        <is>
          <t>Pull process temperature differential</t>
        </is>
      </c>
      <c r="G25" s="99" t="inlineStr">
        <is>
          <t>Lookup with error handling for Process ΔT (°C)</t>
        </is>
      </c>
      <c r="H25" s="99" t="inlineStr">
        <is>
          <t>5. Buyer Profile!B25 - Required flow rate (m³/hr)</t>
        </is>
      </c>
    </row>
    <row r="26">
      <c r="A26" s="31" t="inlineStr">
        <is>
          <t>Required flow rate (m³/hr)</t>
        </is>
      </c>
      <c r="B26" s="83">
        <f>B17/(4.18*B25)*3.6</f>
        <v/>
      </c>
      <c r="F26" s="98" t="inlineStr">
        <is>
          <t>Calculate buyer's flow requirement</t>
        </is>
      </c>
      <c r="G26" s="99" t="inlineStr">
        <is>
          <t>Calculated from upstream values for Required flow rate (m³/hr)</t>
        </is>
      </c>
      <c r="H26" s="99" t="inlineStr">
        <is>
          <t>5. Buyer Profile!B34 - Modules if flow-constrained (refere...; 5. Buyer Profile!B36 - Flow deficit (m³/hr); 5. Buyer Profile!B37 - Flow ratio (buyer/system); 5. Buyer Profile!B43 - Flow utilisation (%); 5. Buyer Profile!B87 - Flow requirement met?; 8. System Flow!B16 - Required flow rate (m³/hr)</t>
        </is>
      </c>
    </row>
    <row r="27">
      <c r="F27" s="98" t="n"/>
      <c r="G27" s="99" t="n"/>
      <c r="H27" s="99" t="n"/>
    </row>
    <row r="28">
      <c r="A28" s="15" t="inlineStr">
        <is>
          <t>SYSTEM SIZING</t>
        </is>
      </c>
      <c r="B28" s="77" t="n"/>
      <c r="C28" s="15" t="n"/>
      <c r="D28" s="15" t="n"/>
      <c r="E28" s="15" t="n"/>
      <c r="F28" s="97" t="n"/>
      <c r="G28" s="97" t="n"/>
      <c r="H28" s="97" t="n"/>
    </row>
    <row r="29">
      <c r="A29" s="31" t="inlineStr">
        <is>
          <t>Module thermal capacity (kWth)</t>
        </is>
      </c>
      <c r="B29" s="79">
        <f>'1. Module Criteria'!B21</f>
        <v/>
      </c>
      <c r="F29" s="98" t="inlineStr">
        <is>
          <t>Pull single module heat output</t>
        </is>
      </c>
      <c r="G29" s="99" t="inlineStr">
        <is>
          <t>Pulls value from 1. Module Criteria!B21</t>
        </is>
      </c>
      <c r="H29" s="99" t="inlineStr">
        <is>
          <t>5. Buyer Profile!B33 - Modules needed (thermal); 5. Buyer Profile!B40 - System thermal capacity (kWth)</t>
        </is>
      </c>
    </row>
    <row r="30">
      <c r="A30" s="31" t="inlineStr">
        <is>
          <t>Module delivery temp (°C)</t>
        </is>
      </c>
      <c r="B30" s="76">
        <f>'1. Module Criteria'!B22</f>
        <v/>
      </c>
      <c r="F30" s="98" t="inlineStr">
        <is>
          <t>Pull module output temperature</t>
        </is>
      </c>
      <c r="G30" s="99" t="inlineStr">
        <is>
          <t>Pulls value from 1. Module Criteria!B22</t>
        </is>
      </c>
      <c r="H30" s="99" t="inlineStr">
        <is>
          <t>5. Buyer Profile!B32 - Temperature compatible?</t>
        </is>
      </c>
    </row>
    <row r="31">
      <c r="A31" s="31" t="inlineStr">
        <is>
          <t>Module flow capacity (m³/hr)</t>
        </is>
      </c>
      <c r="B31" s="83">
        <f>'4. Module Flow'!B26</f>
        <v/>
      </c>
      <c r="F31" s="98" t="inlineStr">
        <is>
          <t>Pull single module flow capacity</t>
        </is>
      </c>
      <c r="G31" s="99" t="inlineStr">
        <is>
          <t>Pulls value from 4. Module Flow!B26</t>
        </is>
      </c>
      <c r="H31" s="99" t="inlineStr">
        <is>
          <t>5. Buyer Profile!B34 - Modules if flow-constrained (refere...; 5. Buyer Profile!B36 - Flow deficit (m³/hr); 5. Buyer Profile!B37 - Flow ratio (buyer/system); 5. Buyer Profile!B41 - System flow capacity (m³/hr)</t>
        </is>
      </c>
    </row>
    <row r="32">
      <c r="F32" s="98" t="n"/>
      <c r="G32" s="99" t="n"/>
      <c r="H32" s="99" t="n"/>
    </row>
    <row r="33">
      <c r="A33" s="31" t="inlineStr">
        <is>
          <t>Temperature compatible?</t>
        </is>
      </c>
      <c r="B33" s="76">
        <f>IF(B30&gt;=B16,"YES","NO - need higher temp")</f>
        <v/>
      </c>
      <c r="F33" s="98" t="inlineStr">
        <is>
          <t>Check if system meets buyer temp needs</t>
        </is>
      </c>
      <c r="G33" s="99" t="inlineStr">
        <is>
          <t>Conditional logic for Temperature compatible?</t>
        </is>
      </c>
      <c r="H33" s="99" t="n"/>
    </row>
    <row r="34">
      <c r="A34" s="31" t="inlineStr">
        <is>
          <t>Modules needed (thermal)</t>
        </is>
      </c>
      <c r="B34" s="79">
        <f>ROUNDUP(B17/B29,0)</f>
        <v/>
      </c>
      <c r="F34" s="98" t="inlineStr">
        <is>
          <t>Calculate modules for thermal demand</t>
        </is>
      </c>
      <c r="G34" s="99" t="inlineStr">
        <is>
          <t>Rounded calculation for Modules needed (thermal)</t>
        </is>
      </c>
      <c r="H34" s="99" t="inlineStr">
        <is>
          <t>5. Buyer Profile!B35 - MODULES REQUIRED</t>
        </is>
      </c>
    </row>
    <row r="35">
      <c r="A35" s="31" t="inlineStr">
        <is>
          <t>Modules if flow-constrained (reference)</t>
        </is>
      </c>
      <c r="B35" s="76">
        <f>ROUNDUP(B26/B31,0)</f>
        <v/>
      </c>
      <c r="C35" t="inlineStr">
        <is>
          <t>Informational only - flow handled via hydraulics</t>
        </is>
      </c>
      <c r="F35" s="98" t="inlineStr">
        <is>
          <t>Calculate modules if flow-constrained</t>
        </is>
      </c>
      <c r="G35" s="99" t="inlineStr">
        <is>
          <t>Rounded calculation for Modules if flow-constrained (reference)</t>
        </is>
      </c>
      <c r="H35" s="99" t="n"/>
    </row>
    <row r="36">
      <c r="A36" s="94" t="inlineStr">
        <is>
          <t>MODULES REQUIRED</t>
        </is>
      </c>
      <c r="B36" s="96">
        <f>B34</f>
        <v/>
      </c>
      <c r="C36" s="94" t="inlineStr">
        <is>
          <t>Thermal sizing only - flow deficit handled separately</t>
        </is>
      </c>
      <c r="D36" s="94" t="inlineStr">
        <is>
          <t>Higher of thermal or flow requirement</t>
        </is>
      </c>
      <c r="E36" s="94" t="n"/>
      <c r="F36" s="94" t="inlineStr">
        <is>
          <t>Determine final module count for system sizing</t>
        </is>
      </c>
      <c r="G36" s="94" t="inlineStr">
        <is>
          <t>Formula: MODULES REQUIRED</t>
        </is>
      </c>
      <c r="H36" s="94" t="inlineStr">
        <is>
          <t>5. Buyer Profile!B36 - Flow deficit (m³/hr); 5. Buyer Profile!B37 - Flow ratio (buyer/system); 5. Buyer Profile!B40 - System thermal capacity (kWth); 5. Buyer Profile!B41 - System flow capacity (m³/hr); 5. Buyer Profile!B64 - Total modules required; 5. Buyer Profile!B65 - Total IT capacity (kW); 5. Buyer Profile!B71 - Heat pump units; 5. Buyer Profile!B72 - Total HP capacity (kWth); 5. Buyer Profile!B76 - Source loop pumps; 5. Buyer Profile!B77 - Sink loop pumps; ... and 9 more</t>
        </is>
      </c>
    </row>
    <row r="37">
      <c r="A37" t="inlineStr">
        <is>
          <t>Flow deficit (m³/hr)</t>
        </is>
      </c>
      <c r="B37" s="84">
        <f>MAX(0,B26-B36*B31)</f>
        <v/>
      </c>
      <c r="C37" t="inlineStr">
        <is>
          <t>Buyer flow need minus system flow capacity</t>
        </is>
      </c>
      <c r="F37" s="98" t="inlineStr">
        <is>
          <t>Identify shortfall requiring augmentation</t>
        </is>
      </c>
      <c r="G37" s="99" t="inlineStr">
        <is>
          <t>Bounded value for Flow deficit (m³/hr)</t>
        </is>
      </c>
      <c r="H37" s="99" t="inlineStr">
        <is>
          <t>5. Buyer Profile!B81 - Flow augmentation pump (m³/hr); 5. Buyer Profile!B82 - Mixing valve required?; 5. Buyer Profile!B84 - Augmentation pumps required; 6. System Capex!B35 - Flow deficit (m³/hr)</t>
        </is>
      </c>
    </row>
    <row r="38">
      <c r="A38" t="inlineStr">
        <is>
          <t>Flow ratio (buyer/system)</t>
        </is>
      </c>
      <c r="B38" s="84">
        <f>IF(B36*B31&gt;0,B26/(B36*B31),0)</f>
        <v/>
      </c>
      <c r="C38" t="inlineStr">
        <is>
          <t>&gt;1 means hydraulic augmentation needed</t>
        </is>
      </c>
      <c r="F38" s="98" t="inlineStr">
        <is>
          <t>Compare buyer need to system capacity</t>
        </is>
      </c>
      <c r="G38" s="99" t="inlineStr">
        <is>
          <t>Conditional logic for Flow ratio (buyer/system)</t>
        </is>
      </c>
      <c r="H38" s="99" t="inlineStr">
        <is>
          <t>5. Buyer Profile!B44 - Hydraulic augmentation needed?</t>
        </is>
      </c>
    </row>
    <row r="39">
      <c r="F39" s="98" t="n"/>
      <c r="G39" s="99" t="n"/>
      <c r="H39" s="99" t="n"/>
    </row>
    <row r="40">
      <c r="A40" s="15" t="inlineStr">
        <is>
          <t>UTILISATION ANALYSIS</t>
        </is>
      </c>
      <c r="B40" s="77" t="n"/>
      <c r="C40" s="15" t="n"/>
      <c r="D40" s="15" t="n"/>
      <c r="E40" s="15" t="n"/>
      <c r="F40" s="97" t="n"/>
      <c r="G40" s="97" t="n"/>
      <c r="H40" s="97" t="inlineStr">
        <is>
          <t>8. System Flow!B22 - System flow capacity (m³/hr)</t>
        </is>
      </c>
    </row>
    <row r="41">
      <c r="A41" s="31" t="inlineStr">
        <is>
          <t>System thermal capacity (kWth)</t>
        </is>
      </c>
      <c r="B41" s="79">
        <f>B36*B29</f>
        <v/>
      </c>
      <c r="F41" s="98" t="inlineStr">
        <is>
          <t>Calculate total system heat output</t>
        </is>
      </c>
      <c r="G41" s="99" t="inlineStr">
        <is>
          <t>Calculated from upstream values for System thermal capacity (kWth)</t>
        </is>
      </c>
      <c r="H41" s="99" t="inlineStr">
        <is>
          <t>5. Buyer Profile!B42 - Thermal utilisation (%); 5. Buyer Profile!B46 - System heat generation (kWth); 5. Buyer Profile!B47 - Buyer heat absorption (kWth); 5. Buyer Profile!B73 - HP electrical demand (kW); 8. System Flow!B32 - Thermal utilisation</t>
        </is>
      </c>
    </row>
    <row r="42">
      <c r="A42" s="31" t="inlineStr">
        <is>
          <t>System flow capacity (m³/hr)</t>
        </is>
      </c>
      <c r="B42" s="83">
        <f>B36*B31</f>
        <v/>
      </c>
      <c r="F42" s="98" t="inlineStr">
        <is>
          <t>Calculate total system flow</t>
        </is>
      </c>
      <c r="G42" s="99" t="inlineStr">
        <is>
          <t>Calculated from upstream values for System flow capacity (m³/hr)</t>
        </is>
      </c>
      <c r="H42" s="99" t="inlineStr">
        <is>
          <t>5. Buyer Profile!B43 - Flow utilisation (%); 5. Buyer Profile!B78 - Total system flow (m³/hr); 5. Buyer Profile!B79 - Header pipe size estimate (DN); 5. Buyer Profile!B86 - Augmented system flow (m³/hr); 8. System Flow!B33 - Flow utilisation</t>
        </is>
      </c>
    </row>
    <row r="43">
      <c r="A43" s="31" t="inlineStr">
        <is>
          <t>Thermal utilisation (%)</t>
        </is>
      </c>
      <c r="B43" s="85">
        <f>B17/B41</f>
        <v/>
      </c>
      <c r="F43" s="98" t="inlineStr">
        <is>
          <t>Measure how much heat capacity is used</t>
        </is>
      </c>
      <c r="G43" s="99" t="inlineStr">
        <is>
          <t>Calculated from upstream values for Thermal utilisation (%)</t>
        </is>
      </c>
      <c r="H43" s="99" t="inlineStr">
        <is>
          <t>8. System Flow!B34 - Binding constraint</t>
        </is>
      </c>
    </row>
    <row r="44">
      <c r="A44" s="31" t="inlineStr">
        <is>
          <t>Flow utilisation (%)</t>
        </is>
      </c>
      <c r="B44" s="85">
        <f>IF(B88&gt;0,B26/B88,B26/B42)</f>
        <v/>
      </c>
      <c r="C44" t="inlineStr">
        <is>
          <t>Required flow / augmented system flow</t>
        </is>
      </c>
      <c r="F44" s="98" t="inlineStr">
        <is>
          <t>Measure how much flow capacity is used</t>
        </is>
      </c>
      <c r="G44" s="99" t="inlineStr">
        <is>
          <t>Conditional logic for Flow utilisation (%)</t>
        </is>
      </c>
      <c r="H44" s="99" t="n"/>
    </row>
    <row r="45">
      <c r="A45" s="31" t="inlineStr">
        <is>
          <t>Hydraulic augmentation needed?</t>
        </is>
      </c>
      <c r="B45" s="76">
        <f>IF(B38&gt;1,"YES - flow ratio "&amp;ROUND(B38,2)&amp;"x","NO")</f>
        <v/>
      </c>
      <c r="C45" t="inlineStr">
        <is>
          <t>Flow ratio &gt; 1 means buyer needs more flow than modules provide</t>
        </is>
      </c>
      <c r="F45" s="98" t="inlineStr">
        <is>
          <t>Flag if pumps needed for flow boost</t>
        </is>
      </c>
      <c r="G45" s="99" t="inlineStr">
        <is>
          <t>Conditional logic for Hydraulic augmentation needed?</t>
        </is>
      </c>
      <c r="H45" s="99" t="n"/>
    </row>
    <row r="46" customFormat="1" s="100">
      <c r="A46" s="101" t="n"/>
      <c r="B46" s="102" t="n"/>
      <c r="F46" s="103" t="n"/>
      <c r="G46" s="104" t="n"/>
      <c r="H46" s="104" t="n"/>
    </row>
    <row r="47">
      <c r="A47" s="15" t="inlineStr">
        <is>
          <t>HEAT BALANCE</t>
        </is>
      </c>
      <c r="B47" s="77" t="n"/>
      <c r="C47" s="15" t="n"/>
      <c r="D47" s="15" t="n"/>
      <c r="E47" s="15" t="n"/>
      <c r="F47" s="97" t="n"/>
      <c r="G47" s="97" t="n"/>
      <c r="H47" s="97" t="n"/>
    </row>
    <row r="48">
      <c r="A48" s="31" t="inlineStr">
        <is>
          <t>System heat generation (kWth)</t>
        </is>
      </c>
      <c r="B48" s="79">
        <f>B41</f>
        <v/>
      </c>
      <c r="C48" t="inlineStr">
        <is>
          <t>Total heat from modules</t>
        </is>
      </c>
      <c r="F48" s="98" t="inlineStr">
        <is>
          <t>Total heat produced by system</t>
        </is>
      </c>
      <c r="G48" s="99" t="inlineStr">
        <is>
          <t>Formula: System heat generation (kWth)</t>
        </is>
      </c>
      <c r="H48" s="99" t="inlineStr">
        <is>
          <t>5. Buyer Profile!B48 - Excess heat (kWth); 5. Buyer Profile!B49 - Excess heat (%); 9. System P&amp;L!B23 - Theoretical heat output (kWth)</t>
        </is>
      </c>
    </row>
    <row r="49">
      <c r="A49" s="31" t="inlineStr">
        <is>
          <t>Buyer heat absorption (kWth)</t>
        </is>
      </c>
      <c r="B49" s="79">
        <f>MIN(B17,B41)</f>
        <v/>
      </c>
      <c r="C49" t="inlineStr">
        <is>
          <t>Limited by buyer demand</t>
        </is>
      </c>
      <c r="F49" s="98" t="inlineStr">
        <is>
          <t>Actual heat buyer can use</t>
        </is>
      </c>
      <c r="G49" s="99" t="inlineStr">
        <is>
          <t>Bounded value for Buyer heat absorption (kWth)</t>
        </is>
      </c>
      <c r="H49" s="99" t="inlineStr">
        <is>
          <t>5. Buyer Profile!B48 - Excess heat (kWth); 9. System P&amp;L!B26 - Actual buyer absorption (kWth)</t>
        </is>
      </c>
    </row>
    <row r="50">
      <c r="A50" s="31" t="inlineStr">
        <is>
          <t>Excess heat (kWth)</t>
        </is>
      </c>
      <c r="B50" s="79">
        <f>MAX(0,B48-B49)</f>
        <v/>
      </c>
      <c r="C50" t="inlineStr">
        <is>
          <t>Requires rejection cooling</t>
        </is>
      </c>
      <c r="F50" s="98" t="inlineStr">
        <is>
          <t>Heat requiring rejection</t>
        </is>
      </c>
      <c r="G50" s="99" t="inlineStr">
        <is>
          <t>Bounded value for Excess heat (kWth)</t>
        </is>
      </c>
      <c r="H50" s="99" t="inlineStr">
        <is>
          <t>5. Buyer Profile!B49 - Excess heat (%); 5. Buyer Profile!B50 - Heat rejection required?; 5. Buyer Profile!B51 - Rejection method; 5. Buyer Profile!B52 - Rejection capacity required (kWth); 7. System Opex!B26 - Excess heat (kWth)</t>
        </is>
      </c>
    </row>
    <row r="51">
      <c r="A51" s="31" t="inlineStr">
        <is>
          <t>Excess heat (%)</t>
        </is>
      </c>
      <c r="B51" s="85">
        <f>IF(B48&gt;0,B50/B48,0)</f>
        <v/>
      </c>
      <c r="C51" t="inlineStr">
        <is>
          <t>Proportion of generation not sold</t>
        </is>
      </c>
      <c r="F51" s="98" t="inlineStr">
        <is>
          <t>Heat requiring rejection</t>
        </is>
      </c>
      <c r="G51" s="99" t="inlineStr">
        <is>
          <t>Conditional logic for Excess heat (%)</t>
        </is>
      </c>
      <c r="H51" s="99" t="n"/>
    </row>
    <row r="52">
      <c r="A52" s="31" t="inlineStr">
        <is>
          <t>Heat rejection required?</t>
        </is>
      </c>
      <c r="B52" s="76">
        <f>IF(B50&gt;0,"YES - "&amp;ROUND(B50,0)&amp;" kWth rejection needed","NO - full utilisation")</f>
        <v/>
      </c>
      <c r="F52" s="98" t="inlineStr">
        <is>
          <t>Size and cost rejection equipment</t>
        </is>
      </c>
      <c r="G52" s="99" t="inlineStr">
        <is>
          <t>Conditional logic for Heat rejection required?</t>
        </is>
      </c>
      <c r="H52" s="99" t="n"/>
    </row>
    <row r="53">
      <c r="A53" s="31" t="inlineStr">
        <is>
          <t>Rejection method</t>
        </is>
      </c>
      <c r="B53" s="76">
        <f>IF(B50=0,"-",IF(B50&lt;'11. Reference Data'!B15,"Dry cooler",IF(B50&lt;'11. Reference Data'!B16,"Adiabatic cooler","Cooling tower")))</f>
        <v/>
      </c>
      <c r="C53" t="inlineStr">
        <is>
          <t>Thresholds from Reference Data sheet</t>
        </is>
      </c>
      <c r="F53" s="98" t="inlineStr">
        <is>
          <t>Select appropriate rejection technology</t>
        </is>
      </c>
      <c r="G53" s="99" t="inlineStr">
        <is>
          <t>Conditional logic for Rejection method</t>
        </is>
      </c>
      <c r="H53" s="99" t="inlineStr">
        <is>
          <t>5. Buyer Profile!B53 - Rejection capex rate (£/kWth); 5. Buyer Profile!B54 - Rejection opex rate (£/kWth/yr)</t>
        </is>
      </c>
    </row>
    <row r="54">
      <c r="A54" s="31" t="inlineStr">
        <is>
          <t>Rejection capacity required (kWth)</t>
        </is>
      </c>
      <c r="B54" s="79">
        <f>B50</f>
        <v/>
      </c>
      <c r="C54" t="inlineStr">
        <is>
          <t>Must handle 100% of system output if buyer goes offline</t>
        </is>
      </c>
      <c r="F54" s="98" t="inlineStr">
        <is>
          <t>Size rejection equipment</t>
        </is>
      </c>
      <c r="G54" s="99" t="inlineStr">
        <is>
          <t>Formula: Rejection capacity required (kWth)</t>
        </is>
      </c>
      <c r="H54" s="99" t="inlineStr">
        <is>
          <t>5. Buyer Profile!B55 - Rejection capex (£); 5. Buyer Profile!B56 - Annual rejection opex (£/yr); 6. System Capex!B30 - Rejection capacity required (kWth)</t>
        </is>
      </c>
    </row>
    <row r="55">
      <c r="A55" s="31" t="inlineStr">
        <is>
          <t>Rejection capex rate (£/kWth)</t>
        </is>
      </c>
      <c r="B55" s="86">
        <f>IF(B53="-",0,IF(B53="Dry cooler",'11. Reference Data'!C10,IF(B53="Adiabatic cooler",'11. Reference Data'!C11,IF(B53="Cooling tower",'11. Reference Data'!C12,0))))</f>
        <v/>
      </c>
      <c r="C55" t="inlineStr">
        <is>
          <t>Capex rates from Reference Data sheet</t>
        </is>
      </c>
      <c r="F55" s="98" t="inlineStr">
        <is>
          <t>Cost heat rejection</t>
        </is>
      </c>
      <c r="G55" s="99" t="inlineStr">
        <is>
          <t>Conditional logic for Rejection capex rate (£/kWth)</t>
        </is>
      </c>
      <c r="H55" s="99" t="inlineStr">
        <is>
          <t>5. Buyer Profile!B55 - Rejection capex (£); 6. System Capex!B31 - Rejection capex rate (£/kWth)</t>
        </is>
      </c>
    </row>
    <row r="56">
      <c r="A56" s="31" t="inlineStr">
        <is>
          <t>Rejection opex rate (£/kWth/yr)</t>
        </is>
      </c>
      <c r="B56" s="86">
        <f>IF(B53="-",0,IF(B53="Dry cooler",'11. Reference Data'!D10,IF(B53="Adiabatic cooler",'11. Reference Data'!D11,IF(B53="Cooling tower",'11. Reference Data'!D12,0))))</f>
        <v/>
      </c>
      <c r="C56" t="inlineStr">
        <is>
          <t>Opex rates from Reference Data sheet</t>
        </is>
      </c>
      <c r="F56" s="98" t="inlineStr">
        <is>
          <t>Cost heat rejection</t>
        </is>
      </c>
      <c r="G56" s="99" t="inlineStr">
        <is>
          <t>Conditional logic for Rejection opex rate (£/kWth/yr)</t>
        </is>
      </c>
      <c r="H56" s="99" t="inlineStr">
        <is>
          <t>5. Buyer Profile!B56 - Annual rejection opex (£/yr); 7. System Opex!B27 - Rejection running cost (£/kWth/yr)</t>
        </is>
      </c>
    </row>
    <row r="57">
      <c r="A57" s="31" t="inlineStr">
        <is>
          <t>Rejection capex (£)</t>
        </is>
      </c>
      <c r="B57" s="86">
        <f>B54*B55</f>
        <v/>
      </c>
      <c r="C57" t="inlineStr">
        <is>
          <t>Capacity × capex rate (sized for worst case)</t>
        </is>
      </c>
      <c r="F57" s="98" t="inlineStr">
        <is>
          <t>Cost heat rejection</t>
        </is>
      </c>
      <c r="G57" s="99" t="inlineStr">
        <is>
          <t>Calculated from upstream values for Rejection capex (£)</t>
        </is>
      </c>
      <c r="H57" s="99" t="n"/>
    </row>
    <row r="58">
      <c r="A58" s="31" t="inlineStr">
        <is>
          <t>Annual rejection opex (£/yr)</t>
        </is>
      </c>
      <c r="B58" s="86">
        <f>B54*B56</f>
        <v/>
      </c>
      <c r="C58" t="inlineStr">
        <is>
          <t>ACTUAL excess heat × opex rate (normal operation)</t>
        </is>
      </c>
      <c r="F58" s="98" t="inlineStr">
        <is>
          <t>Cost heat rejection</t>
        </is>
      </c>
      <c r="G58" s="99" t="inlineStr">
        <is>
          <t>Calculated from upstream values for Annual rejection opex (£/yr)</t>
        </is>
      </c>
      <c r="H58" s="99" t="n"/>
    </row>
    <row r="59">
      <c r="F59" s="98" t="n"/>
      <c r="G59" s="99" t="n"/>
      <c r="H59" s="99" t="n"/>
    </row>
    <row r="60">
      <c r="F60" s="98" t="n"/>
      <c r="G60" s="99" t="n"/>
      <c r="H60" s="99" t="n"/>
    </row>
    <row r="61">
      <c r="F61" s="98" t="n"/>
      <c r="G61" s="99" t="n"/>
      <c r="H61" s="99" t="n"/>
    </row>
    <row r="62">
      <c r="A62" s="15" t="inlineStr">
        <is>
          <t>HARDWARE DEPENDENCIES</t>
        </is>
      </c>
      <c r="B62" s="77" t="n"/>
      <c r="C62" s="15" t="n"/>
      <c r="D62" s="15" t="n"/>
      <c r="E62" s="15" t="n"/>
      <c r="F62" s="97" t="n"/>
      <c r="G62" s="97" t="n"/>
      <c r="H62" s="97" t="n"/>
    </row>
    <row r="63">
      <c r="A63" s="31" t="inlineStr">
        <is>
          <t>Equipment requirements implied by buyer selection</t>
        </is>
      </c>
      <c r="F63" s="98" t="inlineStr">
        <is>
          <t>Model parameter</t>
        </is>
      </c>
      <c r="G63" s="99" t="inlineStr">
        <is>
          <t>Row label only</t>
        </is>
      </c>
      <c r="H63" s="99" t="n"/>
    </row>
    <row r="64">
      <c r="F64" s="98" t="n"/>
      <c r="G64" s="99" t="n"/>
      <c r="H64" s="99" t="n"/>
    </row>
    <row r="65">
      <c r="A65" s="41" t="inlineStr">
        <is>
          <t>Module Configuration</t>
        </is>
      </c>
      <c r="B65" s="81" t="n"/>
      <c r="C65" s="41" t="n"/>
      <c r="D65" s="41" t="n"/>
      <c r="E65" s="41" t="n"/>
      <c r="F65" s="94" t="inlineStr">
        <is>
          <t>Model parameter</t>
        </is>
      </c>
      <c r="G65" s="94" t="inlineStr">
        <is>
          <t>Row label only</t>
        </is>
      </c>
      <c r="H65" s="94" t="n"/>
    </row>
    <row r="66">
      <c r="A66" s="31" t="inlineStr">
        <is>
          <t>Total modules required</t>
        </is>
      </c>
      <c r="B66" s="76">
        <f>B36</f>
        <v/>
      </c>
      <c r="F66" s="98" t="inlineStr">
        <is>
          <t>Determine final module count</t>
        </is>
      </c>
      <c r="G66" s="99" t="inlineStr">
        <is>
          <t>Formula: Total modules required</t>
        </is>
      </c>
      <c r="H66" s="99" t="n"/>
    </row>
    <row r="67">
      <c r="A67" s="31" t="inlineStr">
        <is>
          <t>Total IT capacity (kW)</t>
        </is>
      </c>
      <c r="B67" s="79">
        <f>B36*'1. Module Criteria'!B5</f>
        <v/>
      </c>
      <c r="F67" s="98" t="inlineStr">
        <is>
          <t>Summarise compute capacity</t>
        </is>
      </c>
      <c r="G67" s="99" t="inlineStr">
        <is>
          <t>Calculated from upstream values for Total IT capacity (kW)</t>
        </is>
      </c>
      <c r="H67" s="99" t="inlineStr">
        <is>
          <t>5. Buyer Profile!B66 - Total rack units (42U racks @ 10kW); 5. Buyer Profile!B91 - IT load (kW); 5. Buyer Profile!B92 - Cooling infrastructure (kW)</t>
        </is>
      </c>
    </row>
    <row r="68">
      <c r="A68" s="31" t="inlineStr">
        <is>
          <t>Total rack units (42U racks @ 10kW)</t>
        </is>
      </c>
      <c r="B68" s="76">
        <f>ROUNDUP(B67/10,0)</f>
        <v/>
      </c>
      <c r="C68" t="inlineStr">
        <is>
          <t>Based on IT capacity (10kW per 42U rack)</t>
        </is>
      </c>
      <c r="F68" s="98" t="inlineStr">
        <is>
          <t>Sum components for analysis</t>
        </is>
      </c>
      <c r="G68" s="99" t="inlineStr">
        <is>
          <t>Rounded calculation for Total rack units (42U racks @ 10kW)</t>
        </is>
      </c>
      <c r="H68" s="99" t="inlineStr">
        <is>
          <t>5. Buyer Profile!B107 - 42U server racks</t>
        </is>
      </c>
    </row>
    <row r="69">
      <c r="F69" s="98" t="n"/>
      <c r="G69" s="99" t="n"/>
      <c r="H69" s="99" t="n"/>
    </row>
    <row r="70">
      <c r="A70" s="41" t="inlineStr">
        <is>
          <t>Heat Pump Requirements</t>
        </is>
      </c>
      <c r="B70" s="87" t="n"/>
      <c r="C70" s="19" t="n"/>
      <c r="D70" s="19" t="n"/>
      <c r="E70" s="19" t="n"/>
      <c r="F70" s="94" t="inlineStr">
        <is>
          <t>Size circulation equipment</t>
        </is>
      </c>
      <c r="G70" s="94" t="inlineStr">
        <is>
          <t>Row label only</t>
        </is>
      </c>
      <c r="H70" s="94" t="n"/>
    </row>
    <row r="71">
      <c r="A71" s="31" t="inlineStr">
        <is>
          <t>Heat pump required?</t>
        </is>
      </c>
      <c r="B71" s="79">
        <f>IF(B16&gt;'1. Module Criteria'!B12,"YES","NO - direct heat sufficient")</f>
        <v/>
      </c>
      <c r="F71" s="98" t="inlineStr">
        <is>
          <t>Check if HP needed for buyer</t>
        </is>
      </c>
      <c r="G71" s="99" t="inlineStr">
        <is>
          <t>Conditional logic for Heat pump required?</t>
        </is>
      </c>
      <c r="H71" s="99" t="n"/>
    </row>
    <row r="72">
      <c r="A72" s="31" t="inlineStr">
        <is>
          <t>Temperature lift required (K)</t>
        </is>
      </c>
      <c r="B72" s="76">
        <f>IF(B16&gt;'1. Module Criteria'!B12,B16-'1. Module Criteria'!B12,0)</f>
        <v/>
      </c>
      <c r="F72" s="98" t="inlineStr">
        <is>
          <t>Calculate required HP boost</t>
        </is>
      </c>
      <c r="G72" s="99" t="inlineStr">
        <is>
          <t>Conditional logic for Temperature lift required (K)</t>
        </is>
      </c>
      <c r="H72" s="99" t="n"/>
    </row>
    <row r="73">
      <c r="A73" s="31" t="inlineStr">
        <is>
          <t>Heat pump units</t>
        </is>
      </c>
      <c r="B73" s="79">
        <f>B36</f>
        <v/>
      </c>
      <c r="C73" t="inlineStr">
        <is>
          <t>1 HP per module</t>
        </is>
      </c>
      <c r="F73" s="98" t="inlineStr">
        <is>
          <t>Count HP equipment needed</t>
        </is>
      </c>
      <c r="G73" s="99" t="inlineStr">
        <is>
          <t>Formula: Heat pump units</t>
        </is>
      </c>
      <c r="H73" s="99" t="inlineStr">
        <is>
          <t>5. Buyer Profile!B106 - Heat pump units</t>
        </is>
      </c>
    </row>
    <row r="74">
      <c r="A74" s="31" t="inlineStr">
        <is>
          <t>Total HP capacity (kWth)</t>
        </is>
      </c>
      <c r="B74" s="79">
        <f>B36*'1. Module Criteria'!B18</f>
        <v/>
      </c>
      <c r="F74" s="98" t="inlineStr">
        <is>
          <t>Size total HP thermal capacity</t>
        </is>
      </c>
      <c r="G74" s="99" t="inlineStr">
        <is>
          <t>Calculated from upstream values for Total HP capacity (kWth)</t>
        </is>
      </c>
      <c r="H74" s="99" t="n"/>
    </row>
    <row r="75">
      <c r="A75" s="31" t="inlineStr">
        <is>
          <t>HP electrical demand (kW)</t>
        </is>
      </c>
      <c r="B75" s="79">
        <f>IF(OR(NOT(ISNUMBER('1. Module Criteria'!B17)),'1. Module Criteria'!B17&lt;=1),0,B41/'1. Module Criteria'!B17)</f>
        <v/>
      </c>
      <c r="C75" s="31" t="inlineStr">
        <is>
          <t>HP output / COP</t>
        </is>
      </c>
      <c r="F75" s="98" t="inlineStr">
        <is>
          <t>Calculate HP power consumption</t>
        </is>
      </c>
      <c r="G75" s="99" t="inlineStr">
        <is>
          <t>Conditional logic for HP electrical demand (kW)</t>
        </is>
      </c>
      <c r="H75" s="99" t="inlineStr">
        <is>
          <t>5. Buyer Profile!B93 - Heat pump load (kW)</t>
        </is>
      </c>
    </row>
    <row r="76">
      <c r="F76" s="98" t="n"/>
      <c r="G76" s="99" t="n"/>
      <c r="H76" s="99" t="n"/>
    </row>
    <row r="77">
      <c r="A77" s="41" t="inlineStr">
        <is>
          <t>Hydraulic Infrastructure</t>
        </is>
      </c>
      <c r="B77" s="87" t="n"/>
      <c r="C77" s="19" t="n"/>
      <c r="D77" s="19" t="n"/>
      <c r="E77" s="19" t="n"/>
      <c r="F77" s="94" t="inlineStr">
        <is>
          <t>Model parameter</t>
        </is>
      </c>
      <c r="G77" s="94" t="inlineStr">
        <is>
          <t>Row label only</t>
        </is>
      </c>
      <c r="H77" s="94" t="n"/>
    </row>
    <row r="78">
      <c r="A78" s="31" t="inlineStr">
        <is>
          <t>Source loop pumps</t>
        </is>
      </c>
      <c r="B78" s="88">
        <f>B36</f>
        <v/>
      </c>
      <c r="C78" t="inlineStr">
        <is>
          <t>1 per module</t>
        </is>
      </c>
      <c r="F78" s="98" t="inlineStr">
        <is>
          <t>Reference data provenance</t>
        </is>
      </c>
      <c r="G78" s="99" t="inlineStr">
        <is>
          <t>Formula: Source loop pumps</t>
        </is>
      </c>
      <c r="H78" s="99" t="inlineStr">
        <is>
          <t>5. Buyer Profile!B108 - Source circulation pumps</t>
        </is>
      </c>
    </row>
    <row r="79">
      <c r="A79" s="31" t="inlineStr">
        <is>
          <t>Sink loop pumps</t>
        </is>
      </c>
      <c r="B79" s="88">
        <f>B36</f>
        <v/>
      </c>
      <c r="C79" t="inlineStr">
        <is>
          <t>1 per module</t>
        </is>
      </c>
      <c r="F79" s="98" t="inlineStr">
        <is>
          <t>Size circulation equipment</t>
        </is>
      </c>
      <c r="G79" s="99" t="inlineStr">
        <is>
          <t>Formula: Sink loop pumps</t>
        </is>
      </c>
      <c r="H79" s="99" t="inlineStr">
        <is>
          <t>5. Buyer Profile!B109 - Sink circulation pumps</t>
        </is>
      </c>
    </row>
    <row r="80">
      <c r="A80" s="31" t="inlineStr">
        <is>
          <t>Total system flow (m³/hr)</t>
        </is>
      </c>
      <c r="B80" s="88">
        <f>B42</f>
        <v/>
      </c>
      <c r="F80" s="98" t="inlineStr">
        <is>
          <t>Sum components for analysis</t>
        </is>
      </c>
      <c r="G80" s="99" t="inlineStr">
        <is>
          <t>Formula: Total system flow (m³/hr)</t>
        </is>
      </c>
      <c r="H80" s="99" t="n"/>
    </row>
    <row r="81">
      <c r="A81" s="31" t="inlineStr">
        <is>
          <t>Header pipe size estimate (DN)</t>
        </is>
      </c>
      <c r="B81" s="88">
        <f>IF(B42&lt;10,"DN50",IF(B42&lt;25,"DN65",IF(B42&lt;50,"DN80",IF(B42&lt;100,"DN100","DN125+"))))</f>
        <v/>
      </c>
      <c r="C81" t="inlineStr">
        <is>
          <t>Based on 2 m/s design velocity</t>
        </is>
      </c>
      <c r="F81" s="98" t="inlineStr">
        <is>
          <t>Size main distribution piping</t>
        </is>
      </c>
      <c r="G81" s="99" t="inlineStr">
        <is>
          <t>Conditional logic for Header pipe size estimate (DN)</t>
        </is>
      </c>
      <c r="H81" s="99" t="n"/>
    </row>
    <row r="82">
      <c r="A82" s="31" t="inlineStr">
        <is>
          <t>Buffer tank recommended?</t>
        </is>
      </c>
      <c r="B82" s="88">
        <f>IF(B36&gt;2,"YES - system balancing","OPTIONAL")</f>
        <v/>
      </c>
      <c r="F82" s="98" t="inlineStr">
        <is>
          <t>Flag if thermal buffer needed</t>
        </is>
      </c>
      <c r="G82" s="99" t="inlineStr">
        <is>
          <t>Conditional logic for Buffer tank recommended?</t>
        </is>
      </c>
      <c r="H82" s="99" t="inlineStr">
        <is>
          <t>5. Buyer Profile!B111 - Buffer tank</t>
        </is>
      </c>
    </row>
    <row r="83">
      <c r="A83" t="inlineStr">
        <is>
          <t>Flow augmentation pump (m³/hr)</t>
        </is>
      </c>
      <c r="B83" s="89">
        <f>B37</f>
        <v/>
      </c>
      <c r="C83" t="inlineStr">
        <is>
          <t>Sized for flow deficit</t>
        </is>
      </c>
      <c r="F83" s="98" t="inlineStr">
        <is>
          <t>Size circulation equipment</t>
        </is>
      </c>
      <c r="G83" s="99" t="inlineStr">
        <is>
          <t>Formula: Flow augmentation pump (m³/hr)</t>
        </is>
      </c>
      <c r="H83" s="99" t="n"/>
    </row>
    <row r="84">
      <c r="A84" t="inlineStr">
        <is>
          <t>Mixing valve required?</t>
        </is>
      </c>
      <c r="B84" s="90">
        <f>IF(B37&gt;0,"YES","NO")</f>
        <v/>
      </c>
      <c r="C84" t="inlineStr">
        <is>
          <t>Blends supply with return for higher flow</t>
        </is>
      </c>
      <c r="F84" s="98" t="inlineStr">
        <is>
          <t>Flag if temperature control needed</t>
        </is>
      </c>
      <c r="G84" s="99" t="inlineStr">
        <is>
          <t>Conditional logic for Mixing valve required?</t>
        </is>
      </c>
      <c r="H84" s="99" t="n"/>
    </row>
    <row r="85">
      <c r="A85" t="inlineStr">
        <is>
          <t>Augmentation pump power (kW)</t>
        </is>
      </c>
      <c r="B85" s="89">
        <f>B87*'11. Reference Data'!B121</f>
        <v/>
      </c>
      <c r="C85" t="inlineStr">
        <is>
          <t>Actual pump capacity × kW/m³/hr</t>
        </is>
      </c>
      <c r="F85" s="98" t="inlineStr">
        <is>
          <t>Size circulation equipment</t>
        </is>
      </c>
      <c r="G85" s="99" t="inlineStr">
        <is>
          <t>Calculated from upstream values for Augmentation pump power (kW)</t>
        </is>
      </c>
      <c r="H85" s="99" t="inlineStr">
        <is>
          <t>7. System Opex!B32 - Augmentation pump power (kW)</t>
        </is>
      </c>
    </row>
    <row r="86">
      <c r="A86" t="inlineStr">
        <is>
          <t>Augmentation pumps required</t>
        </is>
      </c>
      <c r="B86" s="84">
        <f>IF(B37&gt;0,ROUNDUP(B37/'11. Reference Data'!B124,0),0)</f>
        <v/>
      </c>
      <c r="C86" t="inlineStr">
        <is>
          <t>Rounded up to whole pumps</t>
        </is>
      </c>
      <c r="F86" s="98" t="inlineStr">
        <is>
          <t>Size circulation equipment</t>
        </is>
      </c>
      <c r="G86" s="99" t="inlineStr">
        <is>
          <t>Conditional logic for Augmentation pumps required</t>
        </is>
      </c>
      <c r="H86" s="99" t="inlineStr">
        <is>
          <t>5. Buyer Profile!B85 - Augmentation pump capacity (m³/hr); 5. Buyer Profile!B113 - Flow augmentation pumps; 5. Buyer Profile!B114 - Mixing valves; 6. System Capex!B36 - Augmentation pumps required</t>
        </is>
      </c>
    </row>
    <row r="87">
      <c r="A87" t="inlineStr">
        <is>
          <t>Augmentation pump capacity (m³/hr)</t>
        </is>
      </c>
      <c r="B87" s="84">
        <f>B86*'11. Reference Data'!B124</f>
        <v/>
      </c>
      <c r="C87" t="inlineStr">
        <is>
          <t>Pumps × standard capacity</t>
        </is>
      </c>
      <c r="F87" s="98" t="inlineStr">
        <is>
          <t>Size circulation equipment</t>
        </is>
      </c>
      <c r="G87" s="99" t="inlineStr">
        <is>
          <t>Calculated from upstream values for Augmentation pump capacity (m³/hr)</t>
        </is>
      </c>
      <c r="H87" s="99" t="inlineStr">
        <is>
          <t>5. Buyer Profile!B83 - Augmentation pump power (kW); 5. Buyer Profile!B86 - Augmented system flow (m³/hr); 7. System Opex!B31 - Augmentation pump capacity (m³/hr)</t>
        </is>
      </c>
    </row>
    <row r="88">
      <c r="A88" t="inlineStr">
        <is>
          <t>Augmented system flow (m³/hr)</t>
        </is>
      </c>
      <c r="B88" s="84">
        <f>B42+B87</f>
        <v/>
      </c>
      <c r="C88" t="inlineStr">
        <is>
          <t>Base module flow + augmentation</t>
        </is>
      </c>
      <c r="F88" s="98" t="inlineStr">
        <is>
          <t>Fluid flow parameter for hydraulic design</t>
        </is>
      </c>
      <c r="G88" s="99" t="inlineStr">
        <is>
          <t>Calculated from upstream values for Augmented system flow (m³/hr)</t>
        </is>
      </c>
      <c r="H88" s="99" t="inlineStr">
        <is>
          <t>5. Buyer Profile!B43 - Flow utilisation (%); 5. Buyer Profile!B87 - Flow requirement met?</t>
        </is>
      </c>
    </row>
    <row r="89">
      <c r="A89" t="inlineStr">
        <is>
          <t>Flow requirement met?</t>
        </is>
      </c>
      <c r="B89" s="91">
        <f>IF(B88&gt;=B26,"YES","NO - shortfall of "&amp;ROUND(B26-B88,1)&amp;" m³/hr")</f>
        <v/>
      </c>
      <c r="C89" t="inlineStr">
        <is>
          <t>Augmented flow &gt;= required flow</t>
        </is>
      </c>
      <c r="F89" s="98" t="inlineStr">
        <is>
          <t>Fluid flow parameter for hydraulic design</t>
        </is>
      </c>
      <c r="G89" s="99" t="inlineStr">
        <is>
          <t>Conditional logic for Flow requirement met?</t>
        </is>
      </c>
      <c r="H89" s="99" t="n"/>
    </row>
    <row r="90">
      <c r="F90" s="98" t="n"/>
      <c r="G90" s="99" t="n"/>
      <c r="H90" s="99" t="n"/>
    </row>
    <row r="91">
      <c r="F91" s="98" t="n"/>
      <c r="G91" s="99" t="n"/>
      <c r="H91" s="99" t="n"/>
    </row>
    <row r="92">
      <c r="A92" s="41" t="inlineStr">
        <is>
          <t>Electrical Infrastructure</t>
        </is>
      </c>
      <c r="B92" s="87" t="n"/>
      <c r="C92" s="19" t="n"/>
      <c r="D92" s="19" t="n"/>
      <c r="E92" s="19" t="n"/>
      <c r="F92" s="94" t="inlineStr">
        <is>
          <t>Model parameter</t>
        </is>
      </c>
      <c r="G92" s="94" t="inlineStr">
        <is>
          <t>Row label only</t>
        </is>
      </c>
      <c r="H92" s="94" t="n"/>
    </row>
    <row r="93">
      <c r="A93" s="31" t="inlineStr">
        <is>
          <t>IT load (kW)</t>
        </is>
      </c>
      <c r="B93" s="79">
        <f>B67</f>
        <v/>
      </c>
      <c r="F93" s="98" t="inlineStr">
        <is>
          <t>Calculate IT electrical demand</t>
        </is>
      </c>
      <c r="G93" s="99" t="inlineStr">
        <is>
          <t>Formula: IT load (kW)</t>
        </is>
      </c>
      <c r="H93" s="99" t="inlineStr">
        <is>
          <t>5. Buyer Profile!B94 - Total electrical demand (kW)</t>
        </is>
      </c>
    </row>
    <row r="94">
      <c r="A94" s="31" t="inlineStr">
        <is>
          <t>Cooling infrastructure (kW)</t>
        </is>
      </c>
      <c r="B94" s="79">
        <f>B67*'1. Module Criteria'!B7*0.05</f>
        <v/>
      </c>
      <c r="C94" t="inlineStr">
        <is>
          <t>5% of IT load for pumps/controls</t>
        </is>
      </c>
      <c r="F94" s="98" t="inlineStr">
        <is>
          <t>Calculate cooling electrical demand</t>
        </is>
      </c>
      <c r="G94" s="99" t="inlineStr">
        <is>
          <t>Calculated from upstream values for Cooling infrastructure (kW)</t>
        </is>
      </c>
      <c r="H94" s="99" t="inlineStr">
        <is>
          <t>5. Buyer Profile!B94 - Total electrical demand (kW)</t>
        </is>
      </c>
    </row>
    <row r="95">
      <c r="A95" s="31" t="inlineStr">
        <is>
          <t>Heat pump load (kW)</t>
        </is>
      </c>
      <c r="B95" s="79">
        <f>B75</f>
        <v/>
      </c>
      <c r="F95" s="98" t="inlineStr">
        <is>
          <t>Size circulation equipment</t>
        </is>
      </c>
      <c r="G95" s="99" t="inlineStr">
        <is>
          <t>Formula: Heat pump load (kW)</t>
        </is>
      </c>
      <c r="H95" s="99" t="inlineStr">
        <is>
          <t>5. Buyer Profile!B94 - Total electrical demand (kW)</t>
        </is>
      </c>
    </row>
    <row r="96">
      <c r="A96" s="31" t="inlineStr">
        <is>
          <t>Total electrical demand (kW)</t>
        </is>
      </c>
      <c r="B96" s="79">
        <f>B93+B94+B95</f>
        <v/>
      </c>
      <c r="F96" s="98" t="inlineStr">
        <is>
          <t>Sum all electrical loads</t>
        </is>
      </c>
      <c r="G96" s="99" t="inlineStr">
        <is>
          <t>Calculated from upstream values for Total electrical demand (kW)</t>
        </is>
      </c>
      <c r="H96" s="99" t="inlineStr">
        <is>
          <t>5. Buyer Profile!B95 - Grid connection (kVA @ 0.9 PF)</t>
        </is>
      </c>
    </row>
    <row r="97">
      <c r="A97" s="31" t="inlineStr">
        <is>
          <t>Grid connection (kVA @ 0.9 PF)</t>
        </is>
      </c>
      <c r="B97" s="79">
        <f>ROUNDUP(B96/0.9,-1)</f>
        <v/>
      </c>
      <c r="C97" t="inlineStr">
        <is>
          <t>Rounded to nearest 10 kVA</t>
        </is>
      </c>
      <c r="F97" s="98" t="inlineStr">
        <is>
          <t>Size grid supply requirement</t>
        </is>
      </c>
      <c r="G97" s="99" t="inlineStr">
        <is>
          <t>Rounded calculation for Grid connection (kVA @ 0.9 PF)</t>
        </is>
      </c>
      <c r="H97" s="99" t="n"/>
    </row>
    <row r="98">
      <c r="F98" s="98" t="n"/>
      <c r="G98" s="99" t="n"/>
      <c r="H98" s="99" t="n"/>
    </row>
    <row r="99">
      <c r="A99" s="15" t="inlineStr">
        <is>
          <t>Space Requirements</t>
        </is>
      </c>
      <c r="B99" s="77" t="n"/>
      <c r="C99" s="15" t="n"/>
      <c r="D99" s="15" t="n"/>
      <c r="E99" s="15" t="n"/>
      <c r="F99" s="97" t="inlineStr">
        <is>
          <t>Model parameter</t>
        </is>
      </c>
      <c r="G99" s="97" t="n"/>
      <c r="H99" s="97" t="n"/>
    </row>
    <row r="100">
      <c r="A100" s="31" t="inlineStr">
        <is>
          <t>Module footprint each (m²)</t>
        </is>
      </c>
      <c r="B100" s="92" t="n">
        <v>15</v>
      </c>
      <c r="C100" t="inlineStr">
        <is>
          <t>Typical 20ft container</t>
        </is>
      </c>
      <c r="F100" s="98" t="inlineStr">
        <is>
          <t>Calculate space requirements</t>
        </is>
      </c>
      <c r="G100" s="99" t="inlineStr">
        <is>
          <t>Input parameter: Module footprint each (m²)</t>
        </is>
      </c>
      <c r="H100" s="99" t="inlineStr">
        <is>
          <t>5. Buyer Profile!B99 - Total module footprint (m²)</t>
        </is>
      </c>
    </row>
    <row r="101">
      <c r="A101" s="31" t="inlineStr">
        <is>
          <t>Total module footprint (m²)</t>
        </is>
      </c>
      <c r="B101" s="79">
        <f>B36*B100</f>
        <v/>
      </c>
      <c r="F101" s="98" t="inlineStr">
        <is>
          <t>Calculate space requirements</t>
        </is>
      </c>
      <c r="G101" s="99" t="inlineStr">
        <is>
          <t>Calculated from upstream values for Total module footprint (m²)</t>
        </is>
      </c>
      <c r="H101" s="99" t="inlineStr">
        <is>
          <t>5. Buyer Profile!B101 - Total site area (m²)</t>
        </is>
      </c>
    </row>
    <row r="102">
      <c r="A102" s="31" t="inlineStr">
        <is>
          <t>Plant room allowance (m²)</t>
        </is>
      </c>
      <c r="B102" s="79">
        <f>IF(B36&gt;2,25,15)</f>
        <v/>
      </c>
      <c r="C102" t="inlineStr">
        <is>
          <t>For headers, buffer, controls</t>
        </is>
      </c>
      <c r="F102" s="98" t="inlineStr">
        <is>
          <t>Allocate support equipment space</t>
        </is>
      </c>
      <c r="G102" s="99" t="inlineStr">
        <is>
          <t>Conditional logic for Plant room allowance (m²)</t>
        </is>
      </c>
      <c r="H102" s="99" t="inlineStr">
        <is>
          <t>5. Buyer Profile!B101 - Total site area (m²)</t>
        </is>
      </c>
    </row>
    <row r="103">
      <c r="A103" s="31" t="inlineStr">
        <is>
          <t>Total site area (m²)</t>
        </is>
      </c>
      <c r="B103" s="79">
        <f>B101+B102</f>
        <v/>
      </c>
      <c r="C103" t="inlineStr">
        <is>
          <t>Excluding access/clearances</t>
        </is>
      </c>
      <c r="F103" s="98" t="inlineStr">
        <is>
          <t>Calculate space requirements</t>
        </is>
      </c>
      <c r="G103" s="99" t="inlineStr">
        <is>
          <t>Calculated from upstream values for Total site area (m²)</t>
        </is>
      </c>
      <c r="H103" s="99" t="n"/>
    </row>
    <row r="104">
      <c r="F104" s="98" t="n"/>
      <c r="G104" s="99" t="n"/>
      <c r="H104" s="99" t="n"/>
    </row>
    <row r="105">
      <c r="A105" s="15" t="inlineStr">
        <is>
          <t>BILL OF MATERIALS SUMMARY</t>
        </is>
      </c>
      <c r="B105" s="77" t="n"/>
      <c r="C105" s="15" t="n"/>
      <c r="D105" s="15" t="n"/>
      <c r="E105" s="15" t="n"/>
      <c r="F105" s="97" t="n"/>
      <c r="G105" s="97" t="n"/>
      <c r="H105" s="97" t="n"/>
    </row>
    <row r="106">
      <c r="A106" s="41" t="inlineStr">
        <is>
          <t>Item</t>
        </is>
      </c>
      <c r="B106" s="81" t="inlineStr">
        <is>
          <t>Qty</t>
        </is>
      </c>
      <c r="C106" s="41" t="inlineStr">
        <is>
          <t>Notes</t>
        </is>
      </c>
      <c r="D106" s="19" t="n"/>
      <c r="E106" s="19" t="n"/>
      <c r="F106" s="94" t="inlineStr">
        <is>
          <t>Model parameter</t>
        </is>
      </c>
      <c r="G106" s="94" t="inlineStr">
        <is>
          <t>Text value for Item</t>
        </is>
      </c>
      <c r="H106" s="94" t="n"/>
    </row>
    <row r="107">
      <c r="A107" s="31" t="inlineStr">
        <is>
          <t>Modular DC units (250kW IT)</t>
        </is>
      </c>
      <c r="B107" s="76">
        <f>B36</f>
        <v/>
      </c>
      <c r="C107" t="inlineStr">
        <is>
          <t>Containerised data centre</t>
        </is>
      </c>
      <c r="F107" s="98" t="inlineStr">
        <is>
          <t>Generate equipment list for procurement</t>
        </is>
      </c>
      <c r="G107" s="99" t="inlineStr">
        <is>
          <t>Formula: Modular DC units (250kW IT)</t>
        </is>
      </c>
      <c r="H107" s="99" t="n"/>
    </row>
    <row r="108">
      <c r="A108" s="31" t="inlineStr">
        <is>
          <t>Heat pump units</t>
        </is>
      </c>
      <c r="B108" s="79">
        <f>B73</f>
        <v/>
      </c>
      <c r="C108" t="inlineStr">
        <is>
          <t>Industrial HTHP, CO2 or NH3</t>
        </is>
      </c>
      <c r="F108" s="98" t="inlineStr">
        <is>
          <t>Count HP equipment needed</t>
        </is>
      </c>
      <c r="G108" s="99" t="inlineStr">
        <is>
          <t>Formula: Heat pump units</t>
        </is>
      </c>
      <c r="H108" s="99" t="n"/>
    </row>
    <row r="109">
      <c r="A109" s="31" t="inlineStr">
        <is>
          <t>42U server racks</t>
        </is>
      </c>
      <c r="B109" s="76">
        <f>B68</f>
        <v/>
      </c>
      <c r="C109" t="inlineStr">
        <is>
          <t>@ 10kW per rack</t>
        </is>
      </c>
      <c r="F109" s="98" t="inlineStr">
        <is>
          <t>Generate equipment list for procurement</t>
        </is>
      </c>
      <c r="G109" s="99" t="inlineStr">
        <is>
          <t>Formula: 42U server racks</t>
        </is>
      </c>
      <c r="H109" s="99" t="n"/>
    </row>
    <row r="110">
      <c r="A110" s="31" t="inlineStr">
        <is>
          <t>Source circulation pumps</t>
        </is>
      </c>
      <c r="B110" s="76">
        <f>B78</f>
        <v/>
      </c>
      <c r="C110" t="inlineStr">
        <is>
          <t>Grundfos/Wilo industrial</t>
        </is>
      </c>
      <c r="F110" s="98" t="inlineStr">
        <is>
          <t>Reference data provenance</t>
        </is>
      </c>
      <c r="G110" s="99" t="inlineStr">
        <is>
          <t>Formula: Source circulation pumps</t>
        </is>
      </c>
      <c r="H110" s="99" t="n"/>
    </row>
    <row r="111">
      <c r="A111" s="31" t="inlineStr">
        <is>
          <t>Sink circulation pumps</t>
        </is>
      </c>
      <c r="B111" s="76">
        <f>B79</f>
        <v/>
      </c>
      <c r="C111" t="inlineStr">
        <is>
          <t>Variable speed</t>
        </is>
      </c>
      <c r="F111" s="98" t="inlineStr">
        <is>
          <t>Size circulation equipment</t>
        </is>
      </c>
      <c r="G111" s="99" t="inlineStr">
        <is>
          <t>Formula: Sink circulation pumps</t>
        </is>
      </c>
      <c r="H111" s="99" t="n"/>
    </row>
    <row r="112">
      <c r="A112" s="31" t="inlineStr">
        <is>
          <t>Plate heat exchangers</t>
        </is>
      </c>
      <c r="B112" s="79">
        <f>B36</f>
        <v/>
      </c>
      <c r="C112" t="inlineStr">
        <is>
          <t>Alfa Laval or equiv</t>
        </is>
      </c>
      <c r="F112" s="98" t="inlineStr">
        <is>
          <t>Model parameter</t>
        </is>
      </c>
      <c r="G112" s="99" t="inlineStr">
        <is>
          <t>Formula: Plate heat exchangers</t>
        </is>
      </c>
      <c r="H112" s="99" t="n"/>
    </row>
    <row r="113">
      <c r="A113" s="31" t="inlineStr">
        <is>
          <t>Buffer tank</t>
        </is>
      </c>
      <c r="B113" s="76">
        <f>IF(B82="YES - system balancing",1,0)</f>
        <v/>
      </c>
      <c r="C113" t="inlineStr">
        <is>
          <t>If multi-module</t>
        </is>
      </c>
      <c r="F113" s="98" t="inlineStr">
        <is>
          <t>Flag if thermal buffer needed</t>
        </is>
      </c>
      <c r="G113" s="99" t="inlineStr">
        <is>
          <t>Conditional logic for Buffer tank</t>
        </is>
      </c>
      <c r="H113" s="99" t="n"/>
    </row>
    <row r="114">
      <c r="A114" s="31" t="inlineStr">
        <is>
          <t>BMS/Controls package</t>
        </is>
      </c>
      <c r="B114" s="80" t="n">
        <v>1</v>
      </c>
      <c r="C114" t="inlineStr">
        <is>
          <t>Central monitoring</t>
        </is>
      </c>
      <c r="F114" s="98" t="inlineStr">
        <is>
          <t>Model parameter</t>
        </is>
      </c>
      <c r="G114" s="99" t="inlineStr">
        <is>
          <t>Flag enabled for BMS/Controls package</t>
        </is>
      </c>
      <c r="H114" s="99" t="n"/>
    </row>
    <row r="115">
      <c r="A115" t="inlineStr">
        <is>
          <t>Flow augmentation pumps</t>
        </is>
      </c>
      <c r="B115" s="78">
        <f>B86</f>
        <v/>
      </c>
      <c r="C115" t="inlineStr">
        <is>
          <t>For flow deficit (if any)</t>
        </is>
      </c>
      <c r="F115" s="98" t="inlineStr">
        <is>
          <t>Size circulation equipment</t>
        </is>
      </c>
      <c r="G115" s="99" t="inlineStr">
        <is>
          <t>Formula: Flow augmentation pumps</t>
        </is>
      </c>
      <c r="H115" s="99" t="n"/>
    </row>
    <row r="116">
      <c r="A116" t="inlineStr">
        <is>
          <t>Mixing valves</t>
        </is>
      </c>
      <c r="B116" s="78">
        <f>IF(B86&gt;0,1,0)</f>
        <v/>
      </c>
      <c r="C116" t="inlineStr">
        <is>
          <t>1 if augmentation needed</t>
        </is>
      </c>
      <c r="F116" s="98" t="inlineStr">
        <is>
          <t>Flag if temperature control needed</t>
        </is>
      </c>
      <c r="G116" s="99" t="inlineStr">
        <is>
          <t>Conditional logic for Mixing valves</t>
        </is>
      </c>
      <c r="H116" s="99" t="n"/>
    </row>
  </sheetData>
  <dataValidations count="1">
    <dataValidation sqref="B11" showDropDown="0" showInputMessage="0" showErrorMessage="0" allowBlank="1" type="list">
      <formula1>'12. Process Library'!$G$4:$G$45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9"/>
  <sheetViews>
    <sheetView tabSelected="1" workbookViewId="0">
      <selection activeCell="D31" sqref="D31"/>
    </sheetView>
  </sheetViews>
  <sheetFormatPr baseColWidth="10" defaultColWidth="8.83203125" defaultRowHeight="15"/>
  <cols>
    <col width="38" customWidth="1" min="1" max="1"/>
    <col width="15" customWidth="1" min="2" max="2"/>
    <col width="12" customWidth="1" min="3" max="3"/>
    <col width="45" customWidth="1" min="4" max="4"/>
    <col width="45" customWidth="1" min="6" max="6"/>
    <col width="50" customWidth="1" min="7" max="7"/>
    <col width="60" customWidth="1" min="8" max="8"/>
  </cols>
  <sheetData>
    <row r="1">
      <c r="A1" s="15" t="inlineStr">
        <is>
          <t>SYSTEM CAPEX</t>
        </is>
      </c>
      <c r="B1" s="15" t="n"/>
      <c r="C1" s="15" t="n"/>
      <c r="D1" s="15" t="n"/>
      <c r="E1" s="15" t="n"/>
      <c r="F1" s="97" t="inlineStr">
        <is>
          <t>Intent</t>
        </is>
      </c>
      <c r="G1" s="97" t="inlineStr">
        <is>
          <t>Explanation</t>
        </is>
      </c>
      <c r="H1" s="97" t="inlineStr">
        <is>
          <t>Dependents</t>
        </is>
      </c>
    </row>
    <row r="2">
      <c r="A2" s="31" t="inlineStr">
        <is>
          <t>Capital expenditure for complete system serving selected buyer</t>
        </is>
      </c>
      <c r="F2" s="98" t="inlineStr">
        <is>
          <t>Model parameter</t>
        </is>
      </c>
      <c r="G2" s="99" t="inlineStr">
        <is>
          <t>Row label only</t>
        </is>
      </c>
      <c r="H2" s="99" t="n"/>
    </row>
    <row r="3">
      <c r="F3" s="98" t="n"/>
      <c r="G3" s="99" t="n"/>
      <c r="H3" s="99" t="n"/>
    </row>
    <row r="4">
      <c r="A4" s="15" t="inlineStr">
        <is>
          <t>HARDWARE CONFIGURATION</t>
        </is>
      </c>
      <c r="B4" s="15" t="n"/>
      <c r="C4" s="15" t="n"/>
      <c r="D4" s="15" t="n"/>
      <c r="E4" s="15" t="n"/>
      <c r="F4" s="97" t="n"/>
      <c r="G4" s="97" t="n"/>
      <c r="H4" s="97" t="n"/>
    </row>
    <row r="5">
      <c r="A5" s="31" t="inlineStr">
        <is>
          <t>Chipset</t>
        </is>
      </c>
      <c r="B5" s="31">
        <f>'0. Rack Profile'!B6</f>
        <v/>
      </c>
      <c r="F5" s="98" t="inlineStr">
        <is>
          <t>Model parameter</t>
        </is>
      </c>
      <c r="G5" s="99" t="inlineStr">
        <is>
          <t>Pulls value from 0. Rack Profile!B6</t>
        </is>
      </c>
      <c r="H5" s="99" t="n"/>
    </row>
    <row r="6">
      <c r="A6" s="31" t="inlineStr">
        <is>
          <t>Cooling method</t>
        </is>
      </c>
      <c r="B6" s="31">
        <f>'0. Rack Profile'!B17</f>
        <v/>
      </c>
      <c r="F6" s="98" t="inlineStr">
        <is>
          <t>Model parameter</t>
        </is>
      </c>
      <c r="G6" s="99" t="inlineStr">
        <is>
          <t>Pulls value from 0. Rack Profile!B17</t>
        </is>
      </c>
      <c r="H6" s="99" t="n"/>
    </row>
    <row r="7">
      <c r="A7" s="31" t="inlineStr">
        <is>
          <t>GPUs per module</t>
        </is>
      </c>
      <c r="B7" s="30">
        <f>'0. Rack Profile'!B39</f>
        <v/>
      </c>
      <c r="F7" s="98" t="inlineStr">
        <is>
          <t>Model parameter</t>
        </is>
      </c>
      <c r="G7" s="99" t="inlineStr">
        <is>
          <t>Pulls value from 0. Rack Profile!B39</t>
        </is>
      </c>
      <c r="H7" s="99" t="n"/>
    </row>
    <row r="8">
      <c r="F8" s="98" t="n"/>
      <c r="G8" s="99" t="n"/>
      <c r="H8" s="99" t="n"/>
    </row>
    <row r="9">
      <c r="A9" s="15" t="inlineStr">
        <is>
          <t>SYSTEM CONFIGURATION</t>
        </is>
      </c>
      <c r="B9" s="15" t="n"/>
      <c r="C9" s="15" t="n"/>
      <c r="D9" s="15" t="n"/>
      <c r="E9" s="15" t="n"/>
      <c r="F9" s="97" t="n"/>
      <c r="G9" s="97" t="n"/>
      <c r="H9" s="97" t="n"/>
    </row>
    <row r="10">
      <c r="A10" s="31" t="inlineStr">
        <is>
          <t>Selected buyer profile</t>
        </is>
      </c>
      <c r="B10" s="31">
        <f>'5. Buyer Profile'!B11</f>
        <v/>
      </c>
      <c r="F10" s="98" t="inlineStr">
        <is>
          <t>Model parameter</t>
        </is>
      </c>
      <c r="G10" s="99" t="inlineStr">
        <is>
          <t>Pulls value from 5. Buyer Profile!B11</t>
        </is>
      </c>
      <c r="H10" s="99" t="n"/>
    </row>
    <row r="11">
      <c r="A11" s="31" t="inlineStr">
        <is>
          <t>Modules required</t>
        </is>
      </c>
      <c r="B11" s="30">
        <f>'5. Buyer Profile'!B36</f>
        <v/>
      </c>
      <c r="F11" s="98" t="inlineStr">
        <is>
          <t>Pull module count from buyer sizing</t>
        </is>
      </c>
      <c r="G11" s="99" t="inlineStr">
        <is>
          <t>Pulls value from 5. Buyer Profile!B35</t>
        </is>
      </c>
      <c r="H11" s="99" t="inlineStr">
        <is>
          <t>6. System Capex!B24 - Total module capex; 6. System Capex!B27 - Integration &amp; commissioning; 6. System Capex!B48 - Capex per IT kW (£/kW)</t>
        </is>
      </c>
    </row>
    <row r="12">
      <c r="F12" s="98" t="n"/>
      <c r="G12" s="99" t="n"/>
      <c r="H12" s="99" t="n"/>
    </row>
    <row r="13">
      <c r="A13" s="15" t="inlineStr">
        <is>
          <t>MODULE CAPEX (per unit)</t>
        </is>
      </c>
      <c r="B13" s="15" t="n"/>
      <c r="C13" s="15" t="n"/>
      <c r="D13" s="15" t="n"/>
      <c r="E13" s="15" t="n"/>
      <c r="F13" s="97" t="inlineStr">
        <is>
          <t>Model parameter</t>
        </is>
      </c>
      <c r="G13" s="97" t="n"/>
      <c r="H13" s="97" t="n"/>
    </row>
    <row r="14">
      <c r="A14" s="31" t="inlineStr">
        <is>
          <t>Enclosure &amp; structure</t>
        </is>
      </c>
      <c r="B14" s="106">
        <f>'2. Module Capex'!B16</f>
        <v/>
      </c>
      <c r="F14" s="98" t="inlineStr">
        <is>
          <t>Pull per-module enclosure cost</t>
        </is>
      </c>
      <c r="G14" s="99" t="inlineStr">
        <is>
          <t>Pulls value from 2. Module Capex!B16</t>
        </is>
      </c>
      <c r="H14" s="99" t="n"/>
    </row>
    <row r="15">
      <c r="A15" s="31" t="inlineStr">
        <is>
          <t>Cooling system</t>
        </is>
      </c>
      <c r="B15" s="106">
        <f>'2. Module Capex'!B24+'2. Module Capex'!B30</f>
        <v/>
      </c>
      <c r="C15" t="inlineStr">
        <is>
          <t>DTC or Immersion (whichever applies)</t>
        </is>
      </c>
      <c r="F15" s="98" t="inlineStr">
        <is>
          <t>Pull per-module cooling cost</t>
        </is>
      </c>
      <c r="G15" s="99" t="inlineStr">
        <is>
          <t>Formula: Cooling system</t>
        </is>
      </c>
      <c r="H15" s="99" t="n"/>
    </row>
    <row r="16">
      <c r="A16" s="31" t="inlineStr">
        <is>
          <t>Power distribution</t>
        </is>
      </c>
      <c r="B16" s="106">
        <f>'2. Module Capex'!B36</f>
        <v/>
      </c>
      <c r="F16" s="98" t="inlineStr">
        <is>
          <t>Pull per-module power cost</t>
        </is>
      </c>
      <c r="G16" s="99" t="inlineStr">
        <is>
          <t>Pulls value from 2. Module Capex!B36</t>
        </is>
      </c>
      <c r="H16" s="99" t="n"/>
    </row>
    <row r="17">
      <c r="A17" s="31" t="inlineStr">
        <is>
          <t>Thermal integration</t>
        </is>
      </c>
      <c r="B17" s="106">
        <f>'2. Module Capex'!B43</f>
        <v/>
      </c>
      <c r="F17" s="98" t="inlineStr">
        <is>
          <t>Pull per-module thermal cost</t>
        </is>
      </c>
      <c r="G17" s="99" t="inlineStr">
        <is>
          <t>Pulls value from 2. Module Capex!B43</t>
        </is>
      </c>
      <c r="H17" s="99" t="n"/>
    </row>
    <row r="18">
      <c r="A18" s="42" t="inlineStr">
        <is>
          <t>Monitoring &amp; controls</t>
        </is>
      </c>
      <c r="B18" s="107">
        <f>'2. Module Capex'!B49</f>
        <v/>
      </c>
      <c r="C18" s="42" t="n"/>
      <c r="D18" s="42" t="n"/>
      <c r="E18" s="42" t="n"/>
      <c r="F18" s="98" t="inlineStr">
        <is>
          <t>Pull per-module monitoring cost</t>
        </is>
      </c>
      <c r="G18" s="99" t="inlineStr">
        <is>
          <t>Pulls value from 2. Module Capex!B49</t>
        </is>
      </c>
      <c r="H18" s="99" t="n"/>
    </row>
    <row r="19">
      <c r="A19" s="31" t="inlineStr">
        <is>
          <t>Cooling method premium</t>
        </is>
      </c>
      <c r="B19" s="106">
        <f>'2. Module Capex'!B60</f>
        <v/>
      </c>
      <c r="C19" t="inlineStr">
        <is>
          <t>From Rack Profile</t>
        </is>
      </c>
      <c r="F19" s="98" t="inlineStr">
        <is>
          <t>Pull cooling technology premium</t>
        </is>
      </c>
      <c r="G19" s="99" t="inlineStr">
        <is>
          <t>Pulls value from 2. Module Capex!B60</t>
        </is>
      </c>
      <c r="H19" s="99" t="n"/>
    </row>
    <row r="20">
      <c r="A20" s="42" t="inlineStr">
        <is>
          <t>Heat pump (if enabled)</t>
        </is>
      </c>
      <c r="B20" s="107">
        <f>'2. Module Capex'!B56</f>
        <v/>
      </c>
      <c r="C20" s="31" t="n"/>
      <c r="D20" s="31" t="n"/>
      <c r="E20" s="31" t="n"/>
      <c r="F20" s="98" t="inlineStr">
        <is>
          <t>Pull per-module HP cost</t>
        </is>
      </c>
      <c r="G20" s="99" t="inlineStr">
        <is>
          <t>Pulls value from 2. Module Capex!B56</t>
        </is>
      </c>
      <c r="H20" s="99" t="n"/>
    </row>
    <row r="21">
      <c r="A21" s="41" t="inlineStr">
        <is>
          <t>TOTAL PER MODULE</t>
        </is>
      </c>
      <c r="B21" s="108">
        <f>'2. Module Capex'!B66</f>
        <v/>
      </c>
      <c r="C21" s="19" t="n"/>
      <c r="D21" s="19" t="n"/>
      <c r="E21" s="19" t="n"/>
      <c r="F21" s="94" t="inlineStr">
        <is>
          <t>Sum per-module costs for scaling</t>
        </is>
      </c>
      <c r="G21" s="94" t="inlineStr">
        <is>
          <t>Pulls value from 2. Module Capex!B66</t>
        </is>
      </c>
      <c r="H21" s="94" t="inlineStr">
        <is>
          <t>6. System Capex!B24 - Total module capex</t>
        </is>
      </c>
    </row>
    <row r="22">
      <c r="B22" s="2" t="n"/>
      <c r="F22" s="98" t="n"/>
      <c r="G22" s="99" t="n"/>
      <c r="H22" s="99" t="n"/>
    </row>
    <row r="23">
      <c r="A23" s="42" t="n"/>
      <c r="B23" s="53" t="n"/>
      <c r="C23" s="42" t="n"/>
      <c r="D23" s="31" t="n"/>
      <c r="E23" s="31" t="n"/>
      <c r="F23" s="98" t="n"/>
      <c r="G23" s="99" t="n"/>
      <c r="H23" s="99" t="n"/>
    </row>
    <row r="24">
      <c r="A24" s="41" t="inlineStr">
        <is>
          <t>Total module capex</t>
        </is>
      </c>
      <c r="B24" s="108">
        <f>B21*B11</f>
        <v/>
      </c>
      <c r="C24" s="50" t="n"/>
      <c r="D24" s="41" t="n"/>
      <c r="E24" s="50" t="n"/>
      <c r="F24" s="94" t="inlineStr">
        <is>
          <t>Calculate all modules cost</t>
        </is>
      </c>
      <c r="G24" s="94" t="inlineStr">
        <is>
          <t>Calculated from upstream values for Total module capex</t>
        </is>
      </c>
      <c r="H24" s="94" t="inlineStr">
        <is>
          <t>6. System Capex!B26 - Shared infrastructure (£); 6. System Capex!B43 - Base system capex (excl. rejection)</t>
        </is>
      </c>
    </row>
    <row r="25">
      <c r="A25" s="42" t="inlineStr">
        <is>
          <t>Shared infrastructure (%)</t>
        </is>
      </c>
      <c r="B25" s="113" t="n">
        <v>0.05</v>
      </c>
      <c r="C25" s="31" t="inlineStr">
        <is>
          <t>Common civils, shared services (scales with modules)</t>
        </is>
      </c>
      <c r="D25" s="31" t="n"/>
      <c r="E25" s="31" t="n"/>
      <c r="F25" s="98" t="inlineStr">
        <is>
          <t>Add common infrastructure cost</t>
        </is>
      </c>
      <c r="G25" s="99" t="inlineStr">
        <is>
          <t>Input parameter: Shared infrastructure (%)</t>
        </is>
      </c>
      <c r="H25" s="99" t="inlineStr">
        <is>
          <t>6. System Capex!B26 - Shared infrastructure (£)</t>
        </is>
      </c>
    </row>
    <row r="26">
      <c r="A26" s="31" t="inlineStr">
        <is>
          <t>Shared infrastructure (£)</t>
        </is>
      </c>
      <c r="B26" s="106">
        <f>B24*B25</f>
        <v/>
      </c>
      <c r="F26" s="98" t="inlineStr">
        <is>
          <t>Add common infrastructure cost</t>
        </is>
      </c>
      <c r="G26" s="99" t="inlineStr">
        <is>
          <t>Calculated from upstream values for Shared infrastructure (£)</t>
        </is>
      </c>
      <c r="H26" s="99" t="inlineStr">
        <is>
          <t>6. System Capex!B43 - Base system capex (excl. rejection)</t>
        </is>
      </c>
    </row>
    <row r="27">
      <c r="A27" s="31" t="inlineStr">
        <is>
          <t>Integration &amp; commissioning</t>
        </is>
      </c>
      <c r="B27" s="106">
        <f>IF(B11&gt;1,25000*(B11-1),0)</f>
        <v/>
      </c>
      <c r="C27" t="inlineStr">
        <is>
          <t>£25k per additional module</t>
        </is>
      </c>
      <c r="F27" s="98" t="inlineStr">
        <is>
          <t>Add system integration cost</t>
        </is>
      </c>
      <c r="G27" s="99" t="inlineStr">
        <is>
          <t>Conditional logic for Integration &amp; commissioning</t>
        </is>
      </c>
      <c r="H27" s="99" t="inlineStr">
        <is>
          <t>6. System Capex!B43 - Base system capex (excl. rejection)</t>
        </is>
      </c>
    </row>
    <row r="28">
      <c r="B28" s="7" t="n"/>
      <c r="F28" s="98" t="n"/>
      <c r="G28" s="99" t="n"/>
      <c r="H28" s="99" t="n"/>
    </row>
    <row r="29">
      <c r="A29" s="42" t="n"/>
      <c r="B29" s="53" t="n"/>
      <c r="C29" s="42" t="inlineStr">
        <is>
          <t>Additional capex for cooling</t>
        </is>
      </c>
      <c r="D29" s="31" t="n"/>
      <c r="E29" s="31" t="n"/>
      <c r="F29" s="98" t="n"/>
      <c r="G29" s="99" t="n"/>
      <c r="H29" s="99" t="n"/>
    </row>
    <row r="30">
      <c r="A30" s="31" t="inlineStr">
        <is>
          <t>Rejection capacity required (kWth)</t>
        </is>
      </c>
      <c r="B30" s="32">
        <f>'5. Buyer Profile'!B54</f>
        <v/>
      </c>
      <c r="F30" s="98" t="inlineStr">
        <is>
          <t>Add heat rejection equipment cost</t>
        </is>
      </c>
      <c r="G30" s="99" t="inlineStr">
        <is>
          <t>Pulls value from 5. Buyer Profile!B52</t>
        </is>
      </c>
      <c r="H30" s="99" t="inlineStr">
        <is>
          <t>6. System Capex!B32 - Heat rejection capex</t>
        </is>
      </c>
    </row>
    <row r="31">
      <c r="A31" s="42" t="inlineStr">
        <is>
          <t>Rejection capex rate (£/kWth)</t>
        </is>
      </c>
      <c r="B31" s="107">
        <f>'5. Buyer Profile'!B55</f>
        <v/>
      </c>
      <c r="C31" s="42" t="n"/>
      <c r="D31" s="42" t="n"/>
      <c r="E31" s="42" t="n"/>
      <c r="F31" s="98" t="inlineStr">
        <is>
          <t>Add heat rejection equipment cost</t>
        </is>
      </c>
      <c r="G31" s="99" t="inlineStr">
        <is>
          <t>Pulls value from 5. Buyer Profile!B53</t>
        </is>
      </c>
      <c r="H31" s="99" t="inlineStr">
        <is>
          <t>6. System Capex!B32 - Heat rejection capex</t>
        </is>
      </c>
    </row>
    <row r="32">
      <c r="A32" s="31" t="inlineStr">
        <is>
          <t>Heat rejection capex</t>
        </is>
      </c>
      <c r="B32" s="106">
        <f>IF(B30&gt;0,B30*B31,0)</f>
        <v/>
      </c>
      <c r="C32" t="inlineStr">
        <is>
          <t>Sized for 100% rejection (buyer offline scenario)</t>
        </is>
      </c>
      <c r="F32" s="98" t="inlineStr">
        <is>
          <t>Add heat rejection equipment cost</t>
        </is>
      </c>
      <c r="G32" s="99" t="inlineStr">
        <is>
          <t>Conditional logic for Heat rejection capex</t>
        </is>
      </c>
      <c r="H32" s="99" t="inlineStr">
        <is>
          <t>6. System Capex!B44 - Heat rejection capex</t>
        </is>
      </c>
    </row>
    <row r="33">
      <c r="F33" s="98" t="n"/>
      <c r="G33" s="99" t="n"/>
      <c r="H33" s="99" t="n"/>
    </row>
    <row r="34">
      <c r="A34" s="74" t="inlineStr">
        <is>
          <t>HYDRAULIC AUGMENTATION</t>
        </is>
      </c>
      <c r="B34" s="74" t="n"/>
      <c r="C34" s="74" t="n"/>
      <c r="D34" s="74" t="n"/>
      <c r="E34" s="74" t="n"/>
      <c r="F34" s="97" t="n"/>
      <c r="G34" s="97" t="n"/>
      <c r="H34" s="97" t="n"/>
    </row>
    <row r="35">
      <c r="A35" t="inlineStr">
        <is>
          <t>Flow deficit (m³/hr)</t>
        </is>
      </c>
      <c r="B35" s="109">
        <f>'5. Buyer Profile'!B37</f>
        <v/>
      </c>
      <c r="F35" s="98" t="inlineStr">
        <is>
          <t>Fluid flow parameter for hydraulic design</t>
        </is>
      </c>
      <c r="G35" s="99" t="inlineStr">
        <is>
          <t>Pulls value from 5. Buyer Profile!B36</t>
        </is>
      </c>
      <c r="H35" s="99" t="inlineStr">
        <is>
          <t>6. System Capex!B38 - Mixing valve + controls; 6. System Capex!B39 - Pipe upsizing allowance</t>
        </is>
      </c>
    </row>
    <row r="36">
      <c r="A36" t="inlineStr">
        <is>
          <t>Augmentation pumps required</t>
        </is>
      </c>
      <c r="B36" s="110">
        <f>'5. Buyer Profile'!B86</f>
        <v/>
      </c>
      <c r="F36" s="98" t="inlineStr">
        <is>
          <t>Add flow augmentation cost</t>
        </is>
      </c>
      <c r="G36" s="99" t="inlineStr">
        <is>
          <t>Pulls value from 5. Buyer Profile!B84</t>
        </is>
      </c>
      <c r="H36" s="99" t="inlineStr">
        <is>
          <t>6. System Capex!B37 - Augmentation pump capex</t>
        </is>
      </c>
    </row>
    <row r="37">
      <c r="A37" t="inlineStr">
        <is>
          <t>Augmentation pump capex</t>
        </is>
      </c>
      <c r="B37" s="111">
        <f>B36*'11. Reference Data'!B124*'11. Reference Data'!B120</f>
        <v/>
      </c>
      <c r="C37" t="inlineStr">
        <is>
          <t>Pumps × capacity × £/m³/hr</t>
        </is>
      </c>
      <c r="F37" s="98" t="inlineStr">
        <is>
          <t>Add flow augmentation cost</t>
        </is>
      </c>
      <c r="G37" s="99" t="inlineStr">
        <is>
          <t>Calculated from upstream values for Augmentation pump capex</t>
        </is>
      </c>
      <c r="H37" s="99" t="inlineStr">
        <is>
          <t>6. System Capex!B40 - SUBTOTAL: HYDRAULIC AUGMENTATION</t>
        </is>
      </c>
    </row>
    <row r="38">
      <c r="A38" t="inlineStr">
        <is>
          <t>Mixing valve + controls</t>
        </is>
      </c>
      <c r="B38" s="111">
        <f>IF(B35&gt;0,'11. Reference Data'!B122,0)</f>
        <v/>
      </c>
      <c r="F38" s="98" t="inlineStr">
        <is>
          <t>Model parameter</t>
        </is>
      </c>
      <c r="G38" s="99" t="inlineStr">
        <is>
          <t>Conditional logic for Mixing valve + controls</t>
        </is>
      </c>
      <c r="H38" s="99" t="n"/>
    </row>
    <row r="39">
      <c r="A39" t="inlineStr">
        <is>
          <t>Pipe upsizing allowance</t>
        </is>
      </c>
      <c r="B39" s="111">
        <f>IF(B35&gt;20,B35*'11. Reference Data'!B123,0)</f>
        <v/>
      </c>
      <c r="C39" t="inlineStr">
        <is>
          <t>If flow deficit &gt; 20 m³/hr</t>
        </is>
      </c>
      <c r="F39" s="98" t="inlineStr">
        <is>
          <t>Model parameter</t>
        </is>
      </c>
      <c r="G39" s="99" t="inlineStr">
        <is>
          <t>Conditional logic for Pipe upsizing allowance</t>
        </is>
      </c>
      <c r="H39" s="99" t="inlineStr">
        <is>
          <t>6. System Capex!B40 - SUBTOTAL: HYDRAULIC AUGMENTATION</t>
        </is>
      </c>
    </row>
    <row r="40">
      <c r="A40" s="61" t="inlineStr">
        <is>
          <t>SUBTOTAL: HYDRAULIC AUGMENTATION</t>
        </is>
      </c>
      <c r="B40" s="114">
        <f>SUM(B37:B39)</f>
        <v/>
      </c>
      <c r="F40" s="98" t="inlineStr">
        <is>
          <t>Subtotal flow augmentation costs</t>
        </is>
      </c>
      <c r="G40" s="99" t="inlineStr">
        <is>
          <t>Sum of component values for SUBTOTAL: HYDRAULIC AUGMENTATION</t>
        </is>
      </c>
      <c r="H40" s="99" t="inlineStr">
        <is>
          <t>6. System Capex!B45 - Hydraulic augmentation capex</t>
        </is>
      </c>
    </row>
    <row r="41">
      <c r="F41" s="98" t="n"/>
      <c r="G41" s="99" t="n"/>
      <c r="H41" s="99" t="n"/>
    </row>
    <row r="42">
      <c r="A42" s="15" t="inlineStr">
        <is>
          <t>TOTAL SYSTEM CAPEX</t>
        </is>
      </c>
      <c r="B42" s="15" t="n"/>
      <c r="C42" s="15" t="n"/>
      <c r="D42" s="15" t="n"/>
      <c r="E42" s="15" t="n"/>
      <c r="F42" s="97" t="n"/>
      <c r="G42" s="97" t="n"/>
      <c r="H42" s="97" t="n"/>
    </row>
    <row r="43">
      <c r="A43" s="31" t="inlineStr">
        <is>
          <t>Base system capex (excl. rejection)</t>
        </is>
      </c>
      <c r="B43" s="106">
        <f>B24+B26+B27</f>
        <v/>
      </c>
      <c r="C43" t="inlineStr">
        <is>
          <t>Module + shared + integration costs</t>
        </is>
      </c>
      <c r="F43" s="98" t="inlineStr">
        <is>
          <t>Add heat rejection equipment cost</t>
        </is>
      </c>
      <c r="G43" s="99" t="inlineStr">
        <is>
          <t>Calculated from upstream values for Base system capex (excl. rejection)</t>
        </is>
      </c>
      <c r="H43" s="99" t="inlineStr">
        <is>
          <t>6. System Capex!B46 - TOTAL SYSTEM CAPEX</t>
        </is>
      </c>
    </row>
    <row r="44">
      <c r="A44" s="31" t="inlineStr">
        <is>
          <t>Heat rejection capex</t>
        </is>
      </c>
      <c r="B44" s="106">
        <f>B32</f>
        <v/>
      </c>
      <c r="F44" s="98" t="inlineStr">
        <is>
          <t>Add heat rejection equipment cost</t>
        </is>
      </c>
      <c r="G44" s="99" t="inlineStr">
        <is>
          <t>Formula: Heat rejection capex</t>
        </is>
      </c>
      <c r="H44" s="99" t="inlineStr">
        <is>
          <t>6. System Capex!B46 - TOTAL SYSTEM CAPEX</t>
        </is>
      </c>
    </row>
    <row r="45">
      <c r="A45" s="31" t="inlineStr">
        <is>
          <t>Hydraulic augmentation capex</t>
        </is>
      </c>
      <c r="B45" s="106">
        <f>B40</f>
        <v/>
      </c>
      <c r="F45" s="98" t="inlineStr">
        <is>
          <t>Add flow augmentation cost</t>
        </is>
      </c>
      <c r="G45" s="99" t="inlineStr">
        <is>
          <t>Formula: Hydraulic augmentation capex</t>
        </is>
      </c>
      <c r="H45" s="99" t="inlineStr">
        <is>
          <t>6. System Capex!B46 - TOTAL SYSTEM CAPEX</t>
        </is>
      </c>
    </row>
    <row r="46">
      <c r="A46" s="94" t="inlineStr">
        <is>
          <t>TOTAL SYSTEM CAPEX</t>
        </is>
      </c>
      <c r="B46" s="112">
        <f>B43+B44+B45</f>
        <v/>
      </c>
      <c r="C46" s="94" t="n"/>
      <c r="D46" s="94" t="n"/>
      <c r="E46" s="94" t="n"/>
      <c r="F46" s="94" t="inlineStr">
        <is>
          <t>Sum complete investment requirement</t>
        </is>
      </c>
      <c r="G46" s="94" t="inlineStr">
        <is>
          <t>Calculated from upstream values for TOTAL SYSTEM CAPEX</t>
        </is>
      </c>
      <c r="H46" s="94" t="inlineStr">
        <is>
          <t>6. System Capex!B48 - Capex per IT kW (£/kW); 6. System Capex!B49 - Capex per kWth delivered (£/kWth); 9. System P&amp;L!B48 - Total system capex (£)</t>
        </is>
      </c>
    </row>
    <row r="47">
      <c r="F47" s="98" t="n"/>
      <c r="G47" s="99" t="n"/>
      <c r="H47" s="99" t="n"/>
    </row>
    <row r="48">
      <c r="A48" s="31" t="inlineStr">
        <is>
          <t>Capex per IT kW (£/kW)</t>
        </is>
      </c>
      <c r="B48" s="106">
        <f>B46/(B11*'0. Rack Profile'!B40)</f>
        <v/>
      </c>
      <c r="F48" s="98" t="inlineStr">
        <is>
          <t>Calculate unit cost metric</t>
        </is>
      </c>
      <c r="G48" s="99" t="inlineStr">
        <is>
          <t>Calculated from upstream values for Capex per IT kW (£/kW)</t>
        </is>
      </c>
      <c r="H48" s="99" t="n"/>
    </row>
    <row r="49">
      <c r="A49" s="31" t="inlineStr">
        <is>
          <t>Capex per kWth delivered (£/kWth)</t>
        </is>
      </c>
      <c r="B49" s="106">
        <f>B46/'5. Buyer Profile'!B17</f>
        <v/>
      </c>
      <c r="F49" s="98" t="inlineStr">
        <is>
          <t>Calculate unit cost metric</t>
        </is>
      </c>
      <c r="G49" s="99" t="inlineStr">
        <is>
          <t>Calculated from upstream values for Capex per kWth delivered (£/kWth)</t>
        </is>
      </c>
      <c r="H49" s="9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10" defaultColWidth="8.83203125" defaultRowHeight="15"/>
  <cols>
    <col width="38" customWidth="1" min="1" max="1"/>
    <col width="15" customWidth="1" min="2" max="2"/>
    <col width="12" customWidth="1" min="3" max="3"/>
    <col width="45" customWidth="1" min="4" max="4"/>
    <col width="45" customWidth="1" min="6" max="6"/>
    <col width="50" customWidth="1" min="7" max="7"/>
    <col width="60" customWidth="1" min="8" max="8"/>
  </cols>
  <sheetData>
    <row r="1">
      <c r="A1" s="15" t="inlineStr">
        <is>
          <t>SYSTEM OPEX</t>
        </is>
      </c>
      <c r="B1" s="15" t="n"/>
      <c r="C1" s="15" t="n"/>
      <c r="D1" s="15" t="n"/>
      <c r="E1" s="15" t="n"/>
      <c r="F1" s="97" t="inlineStr">
        <is>
          <t>Intent</t>
        </is>
      </c>
      <c r="G1" s="97" t="inlineStr">
        <is>
          <t>Explanation</t>
        </is>
      </c>
      <c r="H1" s="97" t="inlineStr">
        <is>
          <t>Dependents</t>
        </is>
      </c>
    </row>
    <row r="2">
      <c r="A2" s="31" t="inlineStr">
        <is>
          <t>Annual operating costs and revenue for complete system</t>
        </is>
      </c>
      <c r="F2" s="98" t="inlineStr">
        <is>
          <t>Financial input or calculation</t>
        </is>
      </c>
      <c r="G2" s="99" t="inlineStr">
        <is>
          <t>Row label only</t>
        </is>
      </c>
      <c r="H2" s="99" t="n"/>
    </row>
    <row r="3">
      <c r="F3" s="98" t="n"/>
      <c r="G3" s="99" t="n"/>
      <c r="H3" s="99" t="n"/>
    </row>
    <row r="4">
      <c r="A4" s="15" t="inlineStr">
        <is>
          <t>HARDWARE CONFIGURATION</t>
        </is>
      </c>
      <c r="B4" s="15" t="n"/>
      <c r="C4" s="15" t="n"/>
      <c r="D4" s="15" t="n"/>
      <c r="E4" s="15" t="n"/>
      <c r="F4" s="97" t="n"/>
      <c r="G4" s="97" t="n"/>
      <c r="H4" s="97" t="n"/>
    </row>
    <row r="5">
      <c r="A5" s="31" t="inlineStr">
        <is>
          <t>Chipset</t>
        </is>
      </c>
      <c r="B5" s="31">
        <f>'0. Rack Profile'!B6</f>
        <v/>
      </c>
      <c r="F5" s="98" t="inlineStr">
        <is>
          <t>Model parameter</t>
        </is>
      </c>
      <c r="G5" s="99" t="inlineStr">
        <is>
          <t>Pulls value from 0. Rack Profile!B6</t>
        </is>
      </c>
      <c r="H5" s="99" t="n"/>
    </row>
    <row r="6">
      <c r="A6" s="31" t="inlineStr">
        <is>
          <t>Cooling method</t>
        </is>
      </c>
      <c r="B6" s="31">
        <f>'0. Rack Profile'!B17</f>
        <v/>
      </c>
      <c r="F6" s="98" t="inlineStr">
        <is>
          <t>Model parameter</t>
        </is>
      </c>
      <c r="G6" s="99" t="inlineStr">
        <is>
          <t>Pulls value from 0. Rack Profile!B17</t>
        </is>
      </c>
      <c r="H6" s="99" t="n"/>
    </row>
    <row r="7">
      <c r="A7" s="31" t="inlineStr">
        <is>
          <t>GPUs per module</t>
        </is>
      </c>
      <c r="B7" s="31">
        <f>'0. Rack Profile'!B39</f>
        <v/>
      </c>
      <c r="F7" s="98" t="inlineStr">
        <is>
          <t>Model parameter</t>
        </is>
      </c>
      <c r="G7" s="99" t="inlineStr">
        <is>
          <t>Pulls value from 0. Rack Profile!B39</t>
        </is>
      </c>
      <c r="H7" s="99" t="n"/>
    </row>
    <row r="8">
      <c r="F8" s="98" t="n"/>
      <c r="G8" s="99" t="n"/>
      <c r="H8" s="99" t="n"/>
    </row>
    <row r="9">
      <c r="A9" s="15" t="inlineStr">
        <is>
          <t>SYSTEM CONFIGURATION</t>
        </is>
      </c>
      <c r="B9" s="15" t="n"/>
      <c r="C9" s="15" t="n"/>
      <c r="D9" s="15" t="n"/>
      <c r="E9" s="15" t="n"/>
      <c r="F9" s="97" t="n"/>
      <c r="G9" s="97" t="n"/>
      <c r="H9" s="97" t="n"/>
    </row>
    <row r="10">
      <c r="A10" s="31" t="inlineStr">
        <is>
          <t>Selected buyer profile</t>
        </is>
      </c>
      <c r="B10" s="37">
        <f>'5. Buyer Profile'!B11</f>
        <v/>
      </c>
      <c r="F10" s="98" t="inlineStr">
        <is>
          <t>Model parameter</t>
        </is>
      </c>
      <c r="G10" s="99" t="inlineStr">
        <is>
          <t>Pulls value from 5. Buyer Profile!B11</t>
        </is>
      </c>
      <c r="H10" s="99" t="n"/>
    </row>
    <row r="11">
      <c r="A11" s="31" t="inlineStr">
        <is>
          <t>Modules in system</t>
        </is>
      </c>
      <c r="B11" s="37">
        <f>'5. Buyer Profile'!B36</f>
        <v/>
      </c>
      <c r="F11" s="98" t="inlineStr">
        <is>
          <t>Pull module count</t>
        </is>
      </c>
      <c r="G11" s="99" t="inlineStr">
        <is>
          <t>Pulls value from 5. Buyer Profile!B35</t>
        </is>
      </c>
      <c r="H11" s="99" t="inlineStr">
        <is>
          <t>7. System Opex!B20 - Total module opex</t>
        </is>
      </c>
    </row>
    <row r="12">
      <c r="F12" s="98" t="n"/>
      <c r="G12" s="99" t="n"/>
      <c r="H12" s="99" t="n"/>
    </row>
    <row r="13">
      <c r="A13" s="15" t="inlineStr">
        <is>
          <t>MODULE OPEX (per unit, £/yr)</t>
        </is>
      </c>
      <c r="B13" s="15" t="n"/>
      <c r="C13" s="15" t="n"/>
      <c r="D13" s="15" t="n"/>
      <c r="E13" s="15" t="n"/>
      <c r="F13" s="97" t="inlineStr">
        <is>
          <t>Financial input or calculation</t>
        </is>
      </c>
      <c r="G13" s="97" t="n"/>
      <c r="H13" s="97" t="n"/>
    </row>
    <row r="14">
      <c r="A14" s="31" t="inlineStr">
        <is>
          <t>Electricity (infra + HP)</t>
        </is>
      </c>
      <c r="B14" s="37">
        <f>'3. Module Opex'!B10</f>
        <v/>
      </c>
      <c r="F14" s="98" t="inlineStr">
        <is>
          <t>Pull per-module electricity cost</t>
        </is>
      </c>
      <c r="G14" s="99" t="inlineStr">
        <is>
          <t>Pulls value from 3. Module Opex!B10</t>
        </is>
      </c>
      <c r="H14" s="99" t="n"/>
    </row>
    <row r="15">
      <c r="A15" s="31" t="inlineStr">
        <is>
          <t>Maintenance &amp; insurance</t>
        </is>
      </c>
      <c r="B15" s="37">
        <f>'3. Module Opex'!B21</f>
        <v/>
      </c>
      <c r="F15" s="98" t="inlineStr">
        <is>
          <t>Pull per-module maintenance cost</t>
        </is>
      </c>
      <c r="G15" s="99" t="inlineStr">
        <is>
          <t>Pulls value from 3. Module Opex!B21</t>
        </is>
      </c>
      <c r="H15" s="99" t="n"/>
    </row>
    <row r="16">
      <c r="A16" s="31" t="inlineStr">
        <is>
          <t>Other (site, NOC, admin)</t>
        </is>
      </c>
      <c r="B16" s="37">
        <f>'3. Module Opex'!B27</f>
        <v/>
      </c>
      <c r="F16" s="98" t="inlineStr">
        <is>
          <t>Pull per-module overhead cost</t>
        </is>
      </c>
      <c r="G16" s="99" t="inlineStr">
        <is>
          <t>Pulls value from 3. Module Opex!B27</t>
        </is>
      </c>
      <c r="H16" s="99" t="n"/>
    </row>
    <row r="17">
      <c r="A17" s="41" t="inlineStr">
        <is>
          <t>TOTAL PER MODULE</t>
        </is>
      </c>
      <c r="B17" s="43">
        <f>'3. Module Opex'!B29</f>
        <v/>
      </c>
      <c r="C17" s="17" t="n"/>
      <c r="D17" s="17" t="n"/>
      <c r="E17" s="17" t="n"/>
      <c r="F17" s="94" t="inlineStr">
        <is>
          <t>Sum per-module opex for scaling</t>
        </is>
      </c>
      <c r="G17" s="94" t="inlineStr">
        <is>
          <t>Pulls value from 3. Module Opex!B29</t>
        </is>
      </c>
      <c r="H17" s="94" t="inlineStr">
        <is>
          <t>7. System Opex!B20 - Total module opex</t>
        </is>
      </c>
    </row>
    <row r="18">
      <c r="F18" s="98" t="n"/>
      <c r="G18" s="99" t="n"/>
      <c r="H18" s="99" t="n"/>
    </row>
    <row r="19">
      <c r="A19" s="15" t="inlineStr">
        <is>
          <t>SYSTEM OPEX (all modules, £/yr)</t>
        </is>
      </c>
      <c r="B19" s="15" t="n"/>
      <c r="C19" s="15" t="n"/>
      <c r="D19" s="15" t="n"/>
      <c r="E19" s="15" t="n"/>
      <c r="F19" s="97" t="inlineStr">
        <is>
          <t>Pull module count</t>
        </is>
      </c>
      <c r="G19" s="97" t="n"/>
      <c r="H19" s="97" t="n"/>
    </row>
    <row r="20">
      <c r="A20" s="31" t="inlineStr">
        <is>
          <t>Total module opex</t>
        </is>
      </c>
      <c r="B20" s="37">
        <f>B17*B11</f>
        <v/>
      </c>
      <c r="F20" s="98" t="inlineStr">
        <is>
          <t>Calculate all modules opex</t>
        </is>
      </c>
      <c r="G20" s="99" t="inlineStr">
        <is>
          <t>Calculated from upstream values for Total module opex</t>
        </is>
      </c>
      <c r="H20" s="99" t="inlineStr">
        <is>
          <t>7. System Opex!B22 - Shared overhead (£/yr); 7. System Opex!B23 - Base system opex (excl. rejection)</t>
        </is>
      </c>
    </row>
    <row r="21">
      <c r="A21" s="31" t="inlineStr">
        <is>
          <t>Shared overhead (%)</t>
        </is>
      </c>
      <c r="B21" s="29" t="n">
        <v>0.05</v>
      </c>
      <c r="D21" t="inlineStr">
        <is>
          <t>Central management allocation</t>
        </is>
      </c>
      <c r="F21" s="98" t="inlineStr">
        <is>
          <t>Add common operating costs</t>
        </is>
      </c>
      <c r="G21" s="99" t="inlineStr">
        <is>
          <t>Input parameter: Shared overhead (%)</t>
        </is>
      </c>
      <c r="H21" s="99" t="inlineStr">
        <is>
          <t>7. System Opex!B22 - Shared overhead (£/yr)</t>
        </is>
      </c>
    </row>
    <row r="22">
      <c r="A22" s="31" t="inlineStr">
        <is>
          <t>Shared overhead (£/yr)</t>
        </is>
      </c>
      <c r="B22" s="37">
        <f>B20*B21</f>
        <v/>
      </c>
      <c r="F22" s="98" t="inlineStr">
        <is>
          <t>Add common operating costs</t>
        </is>
      </c>
      <c r="G22" s="99" t="inlineStr">
        <is>
          <t>Calculated from upstream values for Shared overhead (£/yr)</t>
        </is>
      </c>
      <c r="H22" s="99" t="inlineStr">
        <is>
          <t>7. System Opex!B23 - Base system opex (excl. rejection)</t>
        </is>
      </c>
    </row>
    <row r="23">
      <c r="A23" s="31" t="inlineStr">
        <is>
          <t>Base system opex (excl. rejection)</t>
        </is>
      </c>
      <c r="B23" s="37">
        <f>B20+B22</f>
        <v/>
      </c>
      <c r="C23" t="inlineStr">
        <is>
          <t>Module + shared overhead costs</t>
        </is>
      </c>
      <c r="F23" s="98" t="inlineStr">
        <is>
          <t>Sum base operating costs</t>
        </is>
      </c>
      <c r="G23" s="99" t="inlineStr">
        <is>
          <t>Calculated from upstream values for Base system opex (excl. rejection)</t>
        </is>
      </c>
      <c r="H23" s="99" t="inlineStr">
        <is>
          <t>7. System Opex!B29 - Heat rejection uplift (%); 7. System Opex!B37 - TOTAL SYSTEM OPEX; 9. System P&amp;L!B39 - Base system opex (£/yr)</t>
        </is>
      </c>
    </row>
    <row r="24" ht="16" customHeight="1">
      <c r="A24" s="6" t="n"/>
      <c r="F24" s="98" t="n"/>
      <c r="G24" s="99" t="n"/>
      <c r="H24" s="99" t="n"/>
    </row>
    <row r="25">
      <c r="A25" s="15" t="inlineStr">
        <is>
          <t>HEAT REJECTION OPEX</t>
        </is>
      </c>
      <c r="B25" s="45" t="n"/>
      <c r="C25" s="15" t="n"/>
      <c r="D25" s="15" t="n"/>
      <c r="E25" s="15" t="n"/>
      <c r="F25" s="97" t="n"/>
      <c r="G25" s="97" t="n"/>
      <c r="H25" s="97" t="n"/>
    </row>
    <row r="26">
      <c r="A26" s="31" t="inlineStr">
        <is>
          <t>Excess heat (kWth)</t>
        </is>
      </c>
      <c r="B26" s="30">
        <f>'5. Buyer Profile'!B50</f>
        <v/>
      </c>
      <c r="C26" t="inlineStr">
        <is>
          <t>Actual excess heat in normal operation</t>
        </is>
      </c>
      <c r="F26" s="98" t="inlineStr">
        <is>
          <t>Pull heat requiring rejection</t>
        </is>
      </c>
      <c r="G26" s="99" t="inlineStr">
        <is>
          <t>Pulls value from 5. Buyer Profile!B48</t>
        </is>
      </c>
      <c r="H26" s="99" t="inlineStr">
        <is>
          <t>7. System Opex!B28 - Heat rejection opex (£/yr)</t>
        </is>
      </c>
    </row>
    <row r="27">
      <c r="A27" s="31" t="inlineStr">
        <is>
          <t>Rejection running cost (£/kWth/yr)</t>
        </is>
      </c>
      <c r="B27" s="37">
        <f>'5. Buyer Profile'!B56</f>
        <v/>
      </c>
      <c r="C27" t="inlineStr">
        <is>
          <t>Variable rate from Buyer Profile based on rejection method</t>
        </is>
      </c>
      <c r="F27" s="98" t="inlineStr">
        <is>
          <t>Add heat rejection operating cost</t>
        </is>
      </c>
      <c r="G27" s="99" t="inlineStr">
        <is>
          <t>Pulls value from 5. Buyer Profile!B54</t>
        </is>
      </c>
      <c r="H27" s="99" t="inlineStr">
        <is>
          <t>7. System Opex!B28 - Heat rejection opex (£/yr)</t>
        </is>
      </c>
    </row>
    <row r="28">
      <c r="A28" s="31" t="inlineStr">
        <is>
          <t>Heat rejection opex (£/yr)</t>
        </is>
      </c>
      <c r="B28" s="37">
        <f>IF(B26&gt;0,B26*B27,0)</f>
        <v/>
      </c>
      <c r="F28" s="98" t="inlineStr">
        <is>
          <t>Add heat rejection operating cost</t>
        </is>
      </c>
      <c r="G28" s="99" t="inlineStr">
        <is>
          <t>Conditional logic for Heat rejection opex (£/yr)</t>
        </is>
      </c>
      <c r="H28" s="99" t="inlineStr">
        <is>
          <t>7. System Opex!B29 - Heat rejection uplift (%); 7. System Opex!B37 - TOTAL SYSTEM OPEX; 9. System P&amp;L!B40 - Heat rejection opex (£/yr)</t>
        </is>
      </c>
    </row>
    <row r="29">
      <c r="A29" s="31" t="inlineStr">
        <is>
          <t>Heat rejection uplift (%)</t>
        </is>
      </c>
      <c r="B29" s="33">
        <f>IF(B23&gt;0,B28/B23,0)</f>
        <v/>
      </c>
      <c r="C29" t="inlineStr">
        <is>
          <t>Additional opex for cooling</t>
        </is>
      </c>
      <c r="F29" s="98" t="inlineStr">
        <is>
          <t>Add heat rejection operating cost</t>
        </is>
      </c>
      <c r="G29" s="99" t="inlineStr">
        <is>
          <t>Conditional logic for Heat rejection uplift (%)</t>
        </is>
      </c>
      <c r="H29" s="99" t="n"/>
    </row>
    <row r="30">
      <c r="A30" s="74" t="inlineStr">
        <is>
          <t>HYDRAULIC AUGMENTATION OPEX</t>
        </is>
      </c>
      <c r="B30" s="74" t="n"/>
      <c r="C30" s="74" t="n"/>
      <c r="F30" s="97" t="n"/>
      <c r="G30" s="97" t="n"/>
      <c r="H30" s="97" t="n"/>
    </row>
    <row r="31">
      <c r="A31" t="inlineStr">
        <is>
          <t>Augmentation pump capacity (m³/hr)</t>
        </is>
      </c>
      <c r="B31" s="60">
        <f>'5. Buyer Profile'!B87</f>
        <v/>
      </c>
      <c r="F31" s="98" t="inlineStr">
        <is>
          <t>Add pump operating cost</t>
        </is>
      </c>
      <c r="G31" s="99" t="inlineStr">
        <is>
          <t>Pulls value from 5. Buyer Profile!B85</t>
        </is>
      </c>
      <c r="H31" s="99" t="n"/>
    </row>
    <row r="32">
      <c r="A32" t="inlineStr">
        <is>
          <t>Augmentation pump power (kW)</t>
        </is>
      </c>
      <c r="B32" s="60">
        <f>'5. Buyer Profile'!B85</f>
        <v/>
      </c>
      <c r="F32" s="98" t="inlineStr">
        <is>
          <t>Add pump operating cost</t>
        </is>
      </c>
      <c r="G32" s="99" t="inlineStr">
        <is>
          <t>Pulls value from 5. Buyer Profile!B83</t>
        </is>
      </c>
      <c r="H32" s="99" t="inlineStr">
        <is>
          <t>7. System Opex!B35 - Augmentation pump electricity (£/yr...</t>
        </is>
      </c>
    </row>
    <row r="33">
      <c r="A33" t="inlineStr">
        <is>
          <t>Annual operating hours</t>
        </is>
      </c>
      <c r="B33">
        <f>'5. Buyer Profile'!B18</f>
        <v/>
      </c>
      <c r="C33" t="inlineStr">
        <is>
          <t>From buyer operating profile</t>
        </is>
      </c>
      <c r="F33" s="98" t="inlineStr">
        <is>
          <t>Model parameter</t>
        </is>
      </c>
      <c r="G33" s="99" t="inlineStr">
        <is>
          <t>Pulls value from 5. Buyer Profile!B18</t>
        </is>
      </c>
      <c r="H33" s="99" t="inlineStr">
        <is>
          <t>7. System Opex!B35 - Augmentation pump electricity (£/yr...</t>
        </is>
      </c>
    </row>
    <row r="34">
      <c r="A34" t="inlineStr">
        <is>
          <t>Electricity rate (£/kWh)</t>
        </is>
      </c>
      <c r="B34">
        <f>'3. Module Opex'!B5</f>
        <v/>
      </c>
      <c r="F34" s="98" t="inlineStr">
        <is>
          <t>Financial input or calculation</t>
        </is>
      </c>
      <c r="G34" s="99" t="inlineStr">
        <is>
          <t>Pulls value from 3. Module Opex!B5</t>
        </is>
      </c>
      <c r="H34" s="99" t="inlineStr">
        <is>
          <t>7. System Opex!B35 - Augmentation pump electricity (£/yr...</t>
        </is>
      </c>
    </row>
    <row r="35">
      <c r="A35" t="inlineStr">
        <is>
          <t>Augmentation pump electricity (£/yr)</t>
        </is>
      </c>
      <c r="B35" s="58">
        <f>B32*B33*B34</f>
        <v/>
      </c>
      <c r="F35" s="98" t="inlineStr">
        <is>
          <t>Add pump operating cost</t>
        </is>
      </c>
      <c r="G35" s="99" t="inlineStr">
        <is>
          <t>Calculated from upstream values for Augmentation pump electricity (£/yr)</t>
        </is>
      </c>
      <c r="H35" s="99" t="inlineStr">
        <is>
          <t>7. System Opex!B37 - TOTAL SYSTEM OPEX; 9. System P&amp;L!B41 - Hydraulic augmentation opex (£/yr)</t>
        </is>
      </c>
    </row>
    <row r="36">
      <c r="A36" s="1" t="n"/>
      <c r="F36" s="98" t="n"/>
      <c r="G36" s="99" t="n"/>
      <c r="H36" s="99" t="n"/>
    </row>
    <row r="37">
      <c r="A37" s="94" t="inlineStr">
        <is>
          <t>TOTAL SYSTEM OPEX</t>
        </is>
      </c>
      <c r="B37" s="95">
        <f>B23+B28+B35</f>
        <v/>
      </c>
      <c r="C37" s="94" t="n"/>
      <c r="D37" s="94" t="n"/>
      <c r="E37" s="94" t="n"/>
      <c r="F37" s="94" t="inlineStr">
        <is>
          <t>Sum complete operating costs</t>
        </is>
      </c>
      <c r="G37" s="94" t="inlineStr">
        <is>
          <t>Calculated from upstream values for TOTAL SYSTEM OPEX</t>
        </is>
      </c>
      <c r="H37" s="94" t="inlineStr">
        <is>
          <t>9. System P&amp;L!B42 - TOTAL OPEX (£/yr)</t>
        </is>
      </c>
    </row>
    <row r="38">
      <c r="B38" s="3" t="n"/>
      <c r="F38" s="98" t="n"/>
      <c r="G38" s="99" t="n"/>
      <c r="H38" s="99" t="n"/>
    </row>
    <row r="39">
      <c r="A39" s="31" t="inlineStr">
        <is>
          <t>Note: Revenue and P&amp;L calculations moved to System P&amp;L sheet</t>
        </is>
      </c>
      <c r="B39" s="10" t="n"/>
      <c r="C39" s="9" t="n"/>
      <c r="F39" s="98" t="inlineStr">
        <is>
          <t>Model parameter</t>
        </is>
      </c>
      <c r="G39" s="99" t="inlineStr">
        <is>
          <t>Row label only</t>
        </is>
      </c>
      <c r="H39" s="99" t="n"/>
    </row>
    <row r="40">
      <c r="A40" s="31" t="inlineStr">
        <is>
          <t>See "9. System P&amp;L" for actual revenue based on buyer heat absorption</t>
        </is>
      </c>
      <c r="B40" s="10" t="n"/>
      <c r="C40" s="9" t="n"/>
      <c r="F40" s="98" t="inlineStr">
        <is>
          <t>Model parameter</t>
        </is>
      </c>
      <c r="G40" s="99" t="inlineStr">
        <is>
          <t>Row label only</t>
        </is>
      </c>
      <c r="H40" s="99" t="n"/>
    </row>
    <row r="41">
      <c r="A41" s="9" t="n"/>
      <c r="B41" s="10" t="n"/>
      <c r="C41" s="9" t="n"/>
      <c r="F41" s="98" t="n"/>
      <c r="G41" s="99" t="n"/>
      <c r="H41" s="99" t="n"/>
    </row>
    <row r="42">
      <c r="A42" s="9" t="n"/>
      <c r="B42" s="9" t="n"/>
      <c r="C42" s="9" t="n"/>
      <c r="F42" s="98" t="n"/>
      <c r="G42" s="99" t="n"/>
      <c r="H42" s="99" t="n"/>
    </row>
    <row r="43">
      <c r="A43" s="9" t="n"/>
      <c r="B43" s="9" t="n"/>
      <c r="C43" s="9" t="n"/>
      <c r="F43" s="98" t="n"/>
      <c r="G43" s="99" t="n"/>
      <c r="H43" s="99" t="n"/>
    </row>
    <row r="44">
      <c r="A44" s="9" t="n"/>
      <c r="B44" s="10" t="n"/>
      <c r="C44" s="9" t="n"/>
      <c r="F44" s="98" t="n"/>
      <c r="G44" s="99" t="n"/>
      <c r="H44" s="99" t="n"/>
    </row>
    <row r="45">
      <c r="A45" s="9" t="n"/>
      <c r="B45" s="11" t="n"/>
      <c r="C45" s="9" t="n"/>
      <c r="F45" s="98" t="n"/>
      <c r="G45" s="99" t="n"/>
      <c r="H45" s="99" t="n"/>
    </row>
    <row r="46">
      <c r="A46" s="9" t="n"/>
      <c r="B46" s="11" t="n"/>
      <c r="C46" s="9" t="n"/>
      <c r="F46" s="98" t="n"/>
      <c r="G46" s="99" t="n"/>
      <c r="H46" s="99" t="n"/>
    </row>
    <row r="47">
      <c r="A47" s="9" t="n"/>
      <c r="B47" s="9" t="n"/>
      <c r="C47" s="9" t="n"/>
      <c r="F47" s="98" t="n"/>
      <c r="G47" s="99" t="n"/>
      <c r="H47" s="99" t="n"/>
    </row>
    <row r="48">
      <c r="A48" s="9" t="n"/>
      <c r="B48" s="13" t="n"/>
      <c r="C48" s="9" t="n"/>
      <c r="F48" s="98" t="n"/>
      <c r="G48" s="99" t="n"/>
      <c r="H48" s="99" t="n"/>
    </row>
    <row r="49">
      <c r="A49" s="9" t="n"/>
      <c r="B49" s="11" t="n"/>
      <c r="C49" s="9" t="n"/>
      <c r="F49" s="98" t="n"/>
      <c r="G49" s="99" t="n"/>
      <c r="H49" s="99" t="n"/>
    </row>
    <row r="50">
      <c r="A50" s="9" t="n"/>
      <c r="B50" s="9" t="n"/>
      <c r="C50" s="9" t="n"/>
      <c r="F50" s="98" t="n"/>
      <c r="G50" s="99" t="n"/>
      <c r="H50" s="99" t="n"/>
    </row>
    <row r="51">
      <c r="A51" s="9" t="n"/>
      <c r="B51" s="9" t="n"/>
      <c r="C51" s="9" t="n"/>
      <c r="F51" s="98" t="n"/>
      <c r="G51" s="99" t="n"/>
      <c r="H51" s="99" t="n"/>
    </row>
    <row r="52">
      <c r="A52" s="9" t="n"/>
      <c r="B52" s="9" t="n"/>
      <c r="C52" s="9" t="n"/>
      <c r="F52" s="98" t="n"/>
      <c r="G52" s="99" t="n"/>
      <c r="H52" s="9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10" defaultColWidth="8.83203125" defaultRowHeight="15"/>
  <cols>
    <col width="38" customWidth="1" min="1" max="1"/>
    <col width="15" customWidth="1" min="2" max="3"/>
    <col width="45" customWidth="1" min="4" max="4"/>
    <col width="45" customWidth="1" min="6" max="6"/>
    <col width="50" customWidth="1" min="7" max="7"/>
    <col width="60" customWidth="1" min="8" max="8"/>
  </cols>
  <sheetData>
    <row r="1">
      <c r="A1" s="15" t="inlineStr">
        <is>
          <t>SYSTEM FLOW ANALYSIS</t>
        </is>
      </c>
      <c r="B1" s="15" t="n"/>
      <c r="C1" s="15" t="n"/>
      <c r="D1" s="15" t="n"/>
      <c r="E1" s="15" t="n"/>
      <c r="F1" s="97" t="inlineStr">
        <is>
          <t>Intent</t>
        </is>
      </c>
      <c r="G1" s="97" t="inlineStr">
        <is>
          <t>Explanation</t>
        </is>
      </c>
      <c r="H1" s="97" t="inlineStr">
        <is>
          <t>Dependents</t>
        </is>
      </c>
    </row>
    <row r="2">
      <c r="A2" s="31" t="inlineStr">
        <is>
          <t>Hydraulic analysis for complete system serving selected buyer</t>
        </is>
      </c>
      <c r="F2" s="98" t="inlineStr">
        <is>
          <t>Model parameter</t>
        </is>
      </c>
      <c r="G2" s="99" t="inlineStr">
        <is>
          <t>Row label only</t>
        </is>
      </c>
      <c r="H2" s="99" t="n"/>
    </row>
    <row r="3">
      <c r="F3" s="98" t="n"/>
      <c r="G3" s="99" t="n"/>
      <c r="H3" s="99" t="n"/>
    </row>
    <row r="4">
      <c r="A4" s="15" t="inlineStr">
        <is>
          <t>HARDWARE CONFIGURATION</t>
        </is>
      </c>
      <c r="B4" s="15" t="n"/>
      <c r="C4" s="15" t="n"/>
      <c r="D4" s="15" t="n"/>
      <c r="E4" s="15" t="n"/>
      <c r="F4" s="97" t="n"/>
      <c r="G4" s="97" t="n"/>
      <c r="H4" s="97" t="n"/>
    </row>
    <row r="5">
      <c r="A5" s="31" t="inlineStr">
        <is>
          <t>Chipset</t>
        </is>
      </c>
      <c r="B5" s="31">
        <f>'0. Rack Profile'!B6</f>
        <v/>
      </c>
      <c r="F5" s="98" t="inlineStr">
        <is>
          <t>Model parameter</t>
        </is>
      </c>
      <c r="G5" s="99" t="inlineStr">
        <is>
          <t>Pulls value from 0. Rack Profile!B6</t>
        </is>
      </c>
      <c r="H5" s="99" t="n"/>
    </row>
    <row r="6">
      <c r="A6" s="31" t="inlineStr">
        <is>
          <t>Cooling method</t>
        </is>
      </c>
      <c r="B6" s="31">
        <f>'0. Rack Profile'!B17</f>
        <v/>
      </c>
      <c r="F6" s="98" t="inlineStr">
        <is>
          <t>Model parameter</t>
        </is>
      </c>
      <c r="G6" s="99" t="inlineStr">
        <is>
          <t>Pulls value from 0. Rack Profile!B17</t>
        </is>
      </c>
      <c r="H6" s="99" t="n"/>
    </row>
    <row r="7">
      <c r="A7" s="31" t="inlineStr">
        <is>
          <t>Capture temperature (°C)</t>
        </is>
      </c>
      <c r="B7" s="31">
        <f>'0. Rack Profile'!B21</f>
        <v/>
      </c>
      <c r="F7" s="98" t="inlineStr">
        <is>
          <t>Pull heat source temperature</t>
        </is>
      </c>
      <c r="G7" s="99" t="inlineStr">
        <is>
          <t>Pulls value from 0. Rack Profile!B21</t>
        </is>
      </c>
      <c r="H7" s="99" t="n"/>
    </row>
    <row r="8">
      <c r="F8" s="98" t="n"/>
      <c r="G8" s="99" t="n"/>
      <c r="H8" s="99" t="n"/>
    </row>
    <row r="9">
      <c r="A9" s="15" t="inlineStr">
        <is>
          <t>SYSTEM CONFIGURATION</t>
        </is>
      </c>
      <c r="B9" s="15" t="n"/>
      <c r="C9" s="15" t="n"/>
      <c r="D9" s="15" t="n"/>
      <c r="E9" s="15" t="n"/>
      <c r="F9" s="97" t="n"/>
      <c r="G9" s="97" t="n"/>
      <c r="H9" s="97" t="n"/>
    </row>
    <row r="10">
      <c r="A10" s="31" t="inlineStr">
        <is>
          <t>Selected buyer profile</t>
        </is>
      </c>
      <c r="B10" s="31">
        <f>'5. Buyer Profile'!B11</f>
        <v/>
      </c>
      <c r="F10" s="98" t="inlineStr">
        <is>
          <t>Pull sizing from buyer analysis</t>
        </is>
      </c>
      <c r="G10" s="99" t="inlineStr">
        <is>
          <t>Pulls value from 5. Buyer Profile!B11</t>
        </is>
      </c>
      <c r="H10" s="99" t="n"/>
    </row>
    <row r="11">
      <c r="A11" s="31" t="inlineStr">
        <is>
          <t>Modules in system</t>
        </is>
      </c>
      <c r="B11" s="31">
        <f>'5. Buyer Profile'!B36</f>
        <v/>
      </c>
      <c r="F11" s="98" t="inlineStr">
        <is>
          <t>Pull sizing from buyer analysis</t>
        </is>
      </c>
      <c r="G11" s="99" t="inlineStr">
        <is>
          <t>Pulls value from 5. Buyer Profile!B35</t>
        </is>
      </c>
      <c r="H11" s="99" t="n"/>
    </row>
    <row r="12">
      <c r="F12" s="98" t="n"/>
      <c r="G12" s="99" t="n"/>
      <c r="H12" s="99" t="n"/>
    </row>
    <row r="13">
      <c r="A13" s="15" t="inlineStr">
        <is>
          <t>BUYER REQUIREMENTS</t>
        </is>
      </c>
      <c r="B13" s="15" t="n"/>
      <c r="C13" s="15" t="n"/>
      <c r="D13" s="15" t="n"/>
      <c r="E13" s="15" t="n"/>
      <c r="F13" s="97" t="n"/>
      <c r="G13" s="97" t="n"/>
      <c r="H13" s="97" t="n"/>
    </row>
    <row r="14">
      <c r="A14" s="31" t="inlineStr">
        <is>
          <t>Required temperature (°C)</t>
        </is>
      </c>
      <c r="B14" s="31">
        <f>'5. Buyer Profile'!B16</f>
        <v/>
      </c>
      <c r="F14" s="98" t="inlineStr">
        <is>
          <t>Pull buyer temperature requirement</t>
        </is>
      </c>
      <c r="G14" s="99" t="inlineStr">
        <is>
          <t>Pulls value from 5. Buyer Profile!B16</t>
        </is>
      </c>
      <c r="H14" s="99" t="inlineStr">
        <is>
          <t>8. System Flow!B26 - Temperature (°C)</t>
        </is>
      </c>
    </row>
    <row r="15">
      <c r="A15" s="31" t="inlineStr">
        <is>
          <t>Required thermal load (kWth)</t>
        </is>
      </c>
      <c r="B15" s="30">
        <f>'5. Buyer Profile'!B17</f>
        <v/>
      </c>
      <c r="F15" s="98" t="inlineStr">
        <is>
          <t>Pull buyer heat requirement</t>
        </is>
      </c>
      <c r="G15" s="99" t="inlineStr">
        <is>
          <t>Pulls value from 5. Buyer Profile!B17</t>
        </is>
      </c>
      <c r="H15" s="99" t="inlineStr">
        <is>
          <t>8. System Flow!B27 - Thermal load (kWth); 8. System Flow!B36 - Spare capacity (kWth)</t>
        </is>
      </c>
    </row>
    <row r="16">
      <c r="A16" s="31" t="inlineStr">
        <is>
          <t>Required flow rate (m³/hr)</t>
        </is>
      </c>
      <c r="B16" s="32">
        <f>'5. Buyer Profile'!B26</f>
        <v/>
      </c>
      <c r="F16" s="98" t="inlineStr">
        <is>
          <t>Pull buyer flow requirement</t>
        </is>
      </c>
      <c r="G16" s="99" t="inlineStr">
        <is>
          <t>Pulls value from 5. Buyer Profile!B25</t>
        </is>
      </c>
      <c r="H16" s="99" t="inlineStr">
        <is>
          <t>8. System Flow!B28 - Flow rate (m³/hr); 8. System Flow!B37 - Spare capacity (m³/hr); 8. System Flow!B41 - Main header pipe ID (mm)</t>
        </is>
      </c>
    </row>
    <row r="17">
      <c r="A17" s="31" t="inlineStr">
        <is>
          <t>Annual heat demand (MWh)</t>
        </is>
      </c>
      <c r="B17" s="30">
        <f>'5. Buyer Profile'!B24</f>
        <v/>
      </c>
      <c r="F17" s="98" t="inlineStr">
        <is>
          <t>Pull buyer annual energy need</t>
        </is>
      </c>
      <c r="G17" s="99" t="inlineStr">
        <is>
          <t>Pulls value from 5. Buyer Profile!B23</t>
        </is>
      </c>
      <c r="H17" s="99" t="inlineStr">
        <is>
          <t>8. System Flow!B29 - Annual energy (MWh)</t>
        </is>
      </c>
    </row>
    <row r="18">
      <c r="F18" s="98" t="n"/>
      <c r="G18" s="99" t="n"/>
      <c r="H18" s="99" t="n"/>
    </row>
    <row r="19">
      <c r="A19" s="15" t="inlineStr">
        <is>
          <t>SYSTEM CAPACITY</t>
        </is>
      </c>
      <c r="B19" s="15" t="n"/>
      <c r="C19" s="15" t="n"/>
      <c r="D19" s="15" t="n"/>
      <c r="E19" s="15" t="n"/>
      <c r="F19" s="97" t="n"/>
      <c r="G19" s="97" t="n"/>
      <c r="H19" s="97" t="n"/>
    </row>
    <row r="20">
      <c r="A20" s="31" t="inlineStr">
        <is>
          <t>Delivery temperature (°C)</t>
        </is>
      </c>
      <c r="B20" s="31">
        <f>'1. Module Criteria'!B22</f>
        <v/>
      </c>
      <c r="F20" s="98" t="inlineStr">
        <is>
          <t>Pull system output temperature</t>
        </is>
      </c>
      <c r="G20" s="99" t="inlineStr">
        <is>
          <t>Pulls value from 1. Module Criteria!B22</t>
        </is>
      </c>
      <c r="H20" s="99" t="inlineStr">
        <is>
          <t>8. System Flow!C26 - Temperature (°C)</t>
        </is>
      </c>
    </row>
    <row r="21">
      <c r="A21" s="31" t="inlineStr">
        <is>
          <t>System thermal capacity (kWth)</t>
        </is>
      </c>
      <c r="B21" s="30">
        <f>'5. Buyer Profile'!B41</f>
        <v/>
      </c>
      <c r="F21" s="98" t="inlineStr">
        <is>
          <t>Pull system heat capacity</t>
        </is>
      </c>
      <c r="G21" s="99" t="inlineStr">
        <is>
          <t>Pulls value from 5. Buyer Profile!B38</t>
        </is>
      </c>
      <c r="H21" s="99" t="inlineStr">
        <is>
          <t>8. System Flow!B23 - Annual heat supply (MWh); 8. System Flow!C27 - Thermal load (kWth); 8. System Flow!B36 - Spare capacity (kWth)</t>
        </is>
      </c>
    </row>
    <row r="22">
      <c r="A22" s="31" t="inlineStr">
        <is>
          <t>System flow capacity (m³/hr)</t>
        </is>
      </c>
      <c r="B22" s="32">
        <f>'5. Buyer Profile'!B42</f>
        <v/>
      </c>
      <c r="F22" s="98" t="inlineStr">
        <is>
          <t>Pull system flow capacity</t>
        </is>
      </c>
      <c r="G22" s="99" t="inlineStr">
        <is>
          <t>Pulls value from 5. Buyer Profile!B39</t>
        </is>
      </c>
      <c r="H22" s="99" t="inlineStr">
        <is>
          <t>8. System Flow!C28 - Flow rate (m³/hr); 8. System Flow!B37 - Spare capacity (m³/hr)</t>
        </is>
      </c>
    </row>
    <row r="23">
      <c r="A23" s="31" t="inlineStr">
        <is>
          <t>Annual heat supply (MWh)</t>
        </is>
      </c>
      <c r="B23" s="30">
        <f>B21*'5. Buyer Profile'!B18/1000</f>
        <v/>
      </c>
      <c r="C23" t="inlineStr">
        <is>
          <t>kWth × buyer hours ÷ 1000</t>
        </is>
      </c>
      <c r="F23" s="98" t="inlineStr">
        <is>
          <t>Calculate annual heat available</t>
        </is>
      </c>
      <c r="G23" s="99" t="inlineStr">
        <is>
          <t>Calculated from upstream values for Annual heat supply (MWh)</t>
        </is>
      </c>
      <c r="H23" s="99" t="inlineStr">
        <is>
          <t>8. System Flow!C29 - Annual energy (MWh)</t>
        </is>
      </c>
    </row>
    <row r="24">
      <c r="F24" s="98" t="n"/>
      <c r="G24" s="99" t="n"/>
      <c r="H24" s="99" t="n"/>
    </row>
    <row r="25">
      <c r="A25" s="15" t="inlineStr">
        <is>
          <t>SUPPLY vs DEMAND MATCH</t>
        </is>
      </c>
      <c r="B25" s="15" t="inlineStr">
        <is>
          <t>Required</t>
        </is>
      </c>
      <c r="C25" s="15" t="inlineStr">
        <is>
          <t>Supplied</t>
        </is>
      </c>
      <c r="D25" s="15" t="inlineStr">
        <is>
          <t>Match?</t>
        </is>
      </c>
      <c r="E25" s="15" t="n"/>
      <c r="F25" s="97" t="inlineStr">
        <is>
          <t>Compare system capability to buyer need</t>
        </is>
      </c>
      <c r="G25" s="97" t="inlineStr">
        <is>
          <t>Text value for SUPPLY vs DEMAND MATCH</t>
        </is>
      </c>
      <c r="H25" s="97" t="n"/>
    </row>
    <row r="26">
      <c r="A26" s="31" t="inlineStr">
        <is>
          <t>Temperature (°C)</t>
        </is>
      </c>
      <c r="B26" s="31">
        <f>B14</f>
        <v/>
      </c>
      <c r="C26" s="31">
        <f>B20</f>
        <v/>
      </c>
      <c r="D26" s="31">
        <f>IF(C26&gt;=B26,"✓ YES","✗ NO - need "&amp;B26&amp;"°C")</f>
        <v/>
      </c>
      <c r="F26" s="98" t="inlineStr">
        <is>
          <t>Temperature parameter for thermal design</t>
        </is>
      </c>
      <c r="G26" s="99" t="inlineStr">
        <is>
          <t>Formula: Temperature (°C)</t>
        </is>
      </c>
      <c r="H26" s="99" t="inlineStr">
        <is>
          <t>8. System Flow!D26 - Temperature (°C)</t>
        </is>
      </c>
    </row>
    <row r="27">
      <c r="A27" s="31" t="inlineStr">
        <is>
          <t>Thermal load (kWth)</t>
        </is>
      </c>
      <c r="B27" s="30">
        <f>B15</f>
        <v/>
      </c>
      <c r="C27" s="31">
        <f>B21</f>
        <v/>
      </c>
      <c r="D27" s="31">
        <f>IF(C27&gt;=B27,"✓ YES - "&amp;ROUND((C27-B27),0)&amp;" kWth spare","✗ SHORT "&amp;ROUND((B27-C27),0)&amp;" kWth")</f>
        <v/>
      </c>
      <c r="F27" s="98" t="inlineStr">
        <is>
          <t>Power or thermal capacity metric</t>
        </is>
      </c>
      <c r="G27" s="99" t="inlineStr">
        <is>
          <t>Formula: Thermal load (kWth)</t>
        </is>
      </c>
      <c r="H27" s="99" t="inlineStr">
        <is>
          <t>8. System Flow!D27 - Thermal load (kWth)</t>
        </is>
      </c>
    </row>
    <row r="28">
      <c r="A28" s="31" t="inlineStr">
        <is>
          <t>Flow rate (m³/hr)</t>
        </is>
      </c>
      <c r="B28" s="32">
        <f>B16</f>
        <v/>
      </c>
      <c r="C28" s="39">
        <f>B22</f>
        <v/>
      </c>
      <c r="D28" s="31">
        <f>IF(C28&gt;=B28,"✓ YES - "&amp;ROUND((C28-B28),1)&amp;" m³/hr spare","✗ SHORT "&amp;ROUND((B28-C28),1)&amp;" m³/hr")</f>
        <v/>
      </c>
      <c r="F28" s="98" t="inlineStr">
        <is>
          <t>Efficiency or utilisation metric</t>
        </is>
      </c>
      <c r="G28" s="99" t="inlineStr">
        <is>
          <t>Formula: Flow rate (m³/hr)</t>
        </is>
      </c>
      <c r="H28" s="99" t="inlineStr">
        <is>
          <t>8. System Flow!D28 - Flow rate (m³/hr)</t>
        </is>
      </c>
    </row>
    <row r="29">
      <c r="A29" s="31" t="inlineStr">
        <is>
          <t>Annual energy (MWh)</t>
        </is>
      </c>
      <c r="B29" s="30">
        <f>B17</f>
        <v/>
      </c>
      <c r="C29" s="30">
        <f>B23</f>
        <v/>
      </c>
      <c r="D29" s="31">
        <f>IF(C29&gt;=B29,"✓ YES - "&amp;ROUND((C29-B29),0)&amp;" MWh spare","✗ SHORT "&amp;ROUND((B29-C29),0)&amp;" MWh")</f>
        <v/>
      </c>
      <c r="F29" s="98" t="inlineStr">
        <is>
          <t>Model parameter</t>
        </is>
      </c>
      <c r="G29" s="99" t="inlineStr">
        <is>
          <t>Formula: Annual energy (MWh)</t>
        </is>
      </c>
      <c r="H29" s="99" t="inlineStr">
        <is>
          <t>8. System Flow!D29 - Annual energy (MWh)</t>
        </is>
      </c>
    </row>
    <row r="30">
      <c r="F30" s="98" t="n"/>
      <c r="G30" s="99" t="n"/>
      <c r="H30" s="99" t="n"/>
    </row>
    <row r="31">
      <c r="A31" s="15" t="inlineStr">
        <is>
          <t>UTILISATION SUMMARY</t>
        </is>
      </c>
      <c r="B31" s="15" t="n"/>
      <c r="C31" s="15" t="n"/>
      <c r="D31" s="15" t="n"/>
      <c r="E31" s="15" t="n"/>
      <c r="F31" s="97" t="n"/>
      <c r="G31" s="97" t="n"/>
      <c r="H31" s="97" t="n"/>
    </row>
    <row r="32">
      <c r="A32" s="31" t="inlineStr">
        <is>
          <t>Thermal utilisation</t>
        </is>
      </c>
      <c r="B32" s="33">
        <f>'5. Buyer Profile'!B43</f>
        <v/>
      </c>
      <c r="F32" s="98" t="inlineStr">
        <is>
          <t>Show capacity usage metrics</t>
        </is>
      </c>
      <c r="G32" s="99" t="inlineStr">
        <is>
          <t>Pulls value from 5. Buyer Profile!B40</t>
        </is>
      </c>
      <c r="H32" s="99" t="n"/>
    </row>
    <row r="33">
      <c r="A33" s="31" t="inlineStr">
        <is>
          <t>Flow utilisation</t>
        </is>
      </c>
      <c r="B33" s="33">
        <f>'5. Buyer Profile'!B44</f>
        <v/>
      </c>
      <c r="F33" s="98" t="inlineStr">
        <is>
          <t>Show capacity usage metrics</t>
        </is>
      </c>
      <c r="G33" s="99" t="inlineStr">
        <is>
          <t>Pulls value from 5. Buyer Profile!B41</t>
        </is>
      </c>
      <c r="H33" s="99" t="n"/>
    </row>
    <row r="34">
      <c r="A34" s="31" t="inlineStr">
        <is>
          <t>Binding constraint</t>
        </is>
      </c>
      <c r="B34" s="31">
        <f>IF(AND(ISNUMBER('5. Buyer Profile'!B43),ISNUMBER('5. Buyer Profile'!B44)),IF('5. Buyer Profile'!B43&gt;='5. Buyer Profile'!B44,"Thermal","Flow"),"-")</f>
        <v/>
      </c>
      <c r="F34" s="98" t="inlineStr">
        <is>
          <t>Identify limiting factor</t>
        </is>
      </c>
      <c r="G34" s="99" t="inlineStr">
        <is>
          <t>Pulls value from 5. Buyer Profile!B42</t>
        </is>
      </c>
      <c r="H34" s="99" t="n"/>
    </row>
    <row r="35">
      <c r="F35" s="98" t="n"/>
      <c r="G35" s="99" t="n"/>
      <c r="H35" s="99" t="n"/>
    </row>
    <row r="36">
      <c r="A36" s="31" t="inlineStr">
        <is>
          <t>Spare capacity (kWth)</t>
        </is>
      </c>
      <c r="B36" s="30">
        <f>B21-B15</f>
        <v/>
      </c>
      <c r="F36" s="98" t="inlineStr">
        <is>
          <t>Show available headroom</t>
        </is>
      </c>
      <c r="G36" s="99" t="inlineStr">
        <is>
          <t>Calculated from upstream values for Spare capacity (kWth)</t>
        </is>
      </c>
      <c r="H36" s="99" t="n"/>
    </row>
    <row r="37">
      <c r="A37" s="31" t="inlineStr">
        <is>
          <t>Spare capacity (m³/hr)</t>
        </is>
      </c>
      <c r="B37" s="32">
        <f>B22-B16</f>
        <v/>
      </c>
      <c r="F37" s="98" t="inlineStr">
        <is>
          <t>Show available headroom</t>
        </is>
      </c>
      <c r="G37" s="99" t="inlineStr">
        <is>
          <t>Calculated from upstream values for Spare capacity (m³/hr)</t>
        </is>
      </c>
      <c r="H37" s="99" t="n"/>
    </row>
    <row r="38">
      <c r="F38" s="98" t="n"/>
      <c r="G38" s="99" t="n"/>
      <c r="H38" s="99" t="n"/>
    </row>
    <row r="39">
      <c r="A39" s="15" t="inlineStr">
        <is>
          <t>SYSTEM PIPE SIZING</t>
        </is>
      </c>
      <c r="B39" s="15" t="n"/>
      <c r="C39" s="15" t="n"/>
      <c r="D39" s="15" t="n"/>
      <c r="E39" s="15" t="n"/>
      <c r="F39" s="97" t="n"/>
      <c r="G39" s="97" t="n"/>
      <c r="H39" s="97" t="n"/>
    </row>
    <row r="40">
      <c r="A40" s="31" t="inlineStr">
        <is>
          <t>Design velocity (m/s)</t>
        </is>
      </c>
      <c r="B40" s="27" t="n">
        <v>2</v>
      </c>
      <c r="F40" s="98" t="inlineStr">
        <is>
          <t>Model parameter</t>
        </is>
      </c>
      <c r="G40" s="99" t="inlineStr">
        <is>
          <t>Input parameter: Design velocity (m/s)</t>
        </is>
      </c>
      <c r="H40" s="99" t="inlineStr">
        <is>
          <t>8. System Flow!B41 - Main header pipe ID (mm)</t>
        </is>
      </c>
    </row>
    <row r="41">
      <c r="A41" s="31" t="inlineStr">
        <is>
          <t>Main header pipe ID (mm)</t>
        </is>
      </c>
      <c r="B41" s="40">
        <f>SQRT((B16/3600)/(B40*3.14159/4))*1000</f>
        <v/>
      </c>
      <c r="F41" s="98" t="inlineStr">
        <is>
          <t>Size main distribution piping</t>
        </is>
      </c>
      <c r="G41" s="99" t="inlineStr">
        <is>
          <t>Square root calculation for Main header pipe ID (mm)</t>
        </is>
      </c>
      <c r="H41" s="99" t="inlineStr">
        <is>
          <t>8. System Flow!B42 - Nearest DN size</t>
        </is>
      </c>
    </row>
    <row r="42">
      <c r="A42" s="31" t="inlineStr">
        <is>
          <t>Nearest DN size</t>
        </is>
      </c>
      <c r="B42" s="31">
        <f>IF(B41&lt;28,"DN25",IF(B41&lt;36,"DN32",IF(B41&lt;42,"DN40",IF(B41&lt;54,"DN50",IF(B41&lt;68,"DN65",IF(B41&lt;82,"DN80",IF(B41&lt;107,"DN100",IF(B41&lt;131,"DN125",IF(B41&lt;159,"DN150","DN200+")))))))))</f>
        <v/>
      </c>
      <c r="F42" s="98" t="inlineStr">
        <is>
          <t>Select standard pipe size</t>
        </is>
      </c>
      <c r="G42" s="99" t="inlineStr">
        <is>
          <t>Conditional logic for Nearest DN size</t>
        </is>
      </c>
      <c r="H42" s="9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B17" sqref="B17"/>
    </sheetView>
  </sheetViews>
  <sheetFormatPr baseColWidth="10" defaultColWidth="8.83203125" defaultRowHeight="15"/>
  <cols>
    <col width="40" customWidth="1" min="1" max="1"/>
    <col width="18" customWidth="1" min="2" max="2"/>
    <col width="50" customWidth="1" min="3" max="3"/>
    <col width="45" customWidth="1" min="6" max="6"/>
    <col width="50" customWidth="1" min="7" max="7"/>
    <col width="60" customWidth="1" min="8" max="8"/>
  </cols>
  <sheetData>
    <row r="1">
      <c r="A1" s="15" t="inlineStr">
        <is>
          <t>SYSTEM P&amp;L</t>
        </is>
      </c>
      <c r="B1" s="15" t="n"/>
      <c r="C1" s="15" t="n"/>
      <c r="D1" s="15" t="n"/>
      <c r="E1" s="15" t="n"/>
      <c r="F1" s="97" t="inlineStr">
        <is>
          <t>Intent</t>
        </is>
      </c>
      <c r="G1" s="97" t="inlineStr">
        <is>
          <t>Explanation</t>
        </is>
      </c>
      <c r="H1" s="97" t="inlineStr">
        <is>
          <t>Dependents</t>
        </is>
      </c>
    </row>
    <row r="2">
      <c r="A2" s="31" t="inlineStr">
        <is>
          <t>Profit &amp; Loss analysis for complete system serving selected buyer</t>
        </is>
      </c>
      <c r="F2" s="98" t="inlineStr">
        <is>
          <t>Model parameter</t>
        </is>
      </c>
      <c r="G2" s="99" t="inlineStr">
        <is>
          <t>Row label only</t>
        </is>
      </c>
      <c r="H2" s="99" t="n"/>
    </row>
    <row r="3">
      <c r="A3" s="31" t="inlineStr">
        <is>
          <t>NOTE: Heat revenue reflects ACTUAL buyer absorption, not theoretical module output</t>
        </is>
      </c>
      <c r="F3" s="98" t="inlineStr">
        <is>
          <t>Pull actual heat buyer takes</t>
        </is>
      </c>
      <c r="G3" s="99" t="inlineStr">
        <is>
          <t>Row label only</t>
        </is>
      </c>
      <c r="H3" s="99" t="n"/>
    </row>
    <row r="4">
      <c r="F4" s="98" t="n"/>
      <c r="G4" s="99" t="n"/>
      <c r="H4" s="99" t="n"/>
    </row>
    <row r="5">
      <c r="A5" s="15" t="inlineStr">
        <is>
          <t>CONFIGURATION</t>
        </is>
      </c>
      <c r="B5" s="15" t="n"/>
      <c r="C5" s="15" t="n"/>
      <c r="D5" s="15" t="n"/>
      <c r="E5" s="15" t="n"/>
      <c r="F5" s="97" t="n"/>
      <c r="G5" s="97" t="n"/>
      <c r="H5" s="97" t="n"/>
    </row>
    <row r="6">
      <c r="A6" s="31" t="inlineStr">
        <is>
          <t>Selected buyer profile</t>
        </is>
      </c>
      <c r="B6" s="31">
        <f>'5. Buyer Profile'!B11</f>
        <v/>
      </c>
      <c r="F6" s="98" t="inlineStr">
        <is>
          <t>Pull selected buyer scenario</t>
        </is>
      </c>
      <c r="G6" s="99" t="inlineStr">
        <is>
          <t>Pulls value from 5. Buyer Profile!B11</t>
        </is>
      </c>
      <c r="H6" s="99" t="n"/>
    </row>
    <row r="7">
      <c r="A7" s="31" t="inlineStr">
        <is>
          <t>Modules in system</t>
        </is>
      </c>
      <c r="B7" s="31">
        <f>'5. Buyer Profile'!B36</f>
        <v/>
      </c>
      <c r="F7" s="98" t="inlineStr">
        <is>
          <t>Pull system size</t>
        </is>
      </c>
      <c r="G7" s="99" t="inlineStr">
        <is>
          <t>Pulls value from 5. Buyer Profile!B35</t>
        </is>
      </c>
      <c r="H7" s="99" t="inlineStr">
        <is>
          <t>9. System P&amp;L!B17 - TOTAL COMPUTE REVENUE (£/yr)</t>
        </is>
      </c>
    </row>
    <row r="8">
      <c r="A8" s="31" t="inlineStr">
        <is>
          <t>Chipset</t>
        </is>
      </c>
      <c r="B8" s="31">
        <f>'0. Rack Profile'!B6</f>
        <v/>
      </c>
      <c r="F8" s="98" t="inlineStr">
        <is>
          <t>Pull configuration for context</t>
        </is>
      </c>
      <c r="G8" s="99" t="inlineStr">
        <is>
          <t>Pulls value from 0. Rack Profile!B6</t>
        </is>
      </c>
      <c r="H8" s="99" t="n"/>
    </row>
    <row r="9">
      <c r="A9" s="31" t="inlineStr">
        <is>
          <t>Cooling method</t>
        </is>
      </c>
      <c r="B9" s="31">
        <f>'0. Rack Profile'!B17</f>
        <v/>
      </c>
      <c r="F9" s="98" t="inlineStr">
        <is>
          <t>Pull configuration for context</t>
        </is>
      </c>
      <c r="G9" s="99" t="inlineStr">
        <is>
          <t>Pulls value from 0. Rack Profile!B17</t>
        </is>
      </c>
      <c r="H9" s="99" t="n"/>
    </row>
    <row r="10">
      <c r="F10" s="98" t="n"/>
      <c r="G10" s="99" t="n"/>
      <c r="H10" s="99" t="n"/>
    </row>
    <row r="11">
      <c r="A11" s="15" t="inlineStr">
        <is>
          <t>COMPUTE REVENUE</t>
        </is>
      </c>
      <c r="B11" s="15" t="n"/>
      <c r="C11" s="15" t="n"/>
      <c r="D11" s="15" t="n"/>
      <c r="E11" s="15" t="n"/>
      <c r="F11" s="97" t="n"/>
      <c r="G11" s="97" t="n"/>
      <c r="H11" s="97" t="n"/>
    </row>
    <row r="12">
      <c r="A12" s="31" t="inlineStr">
        <is>
          <t>Module IT capacity (kW)</t>
        </is>
      </c>
      <c r="B12" s="31">
        <f>'1. Module Criteria'!B5</f>
        <v/>
      </c>
      <c r="C12" t="inlineStr">
        <is>
          <t>From Module Criteria</t>
        </is>
      </c>
      <c r="F12" s="98" t="inlineStr">
        <is>
          <t>Pull module size for revenue calc</t>
        </is>
      </c>
      <c r="G12" s="99" t="inlineStr">
        <is>
          <t>Pulls value from 1. Module Criteria!B5</t>
        </is>
      </c>
      <c r="H12" s="99" t="inlineStr">
        <is>
          <t>9. System P&amp;L!B16 - Compute revenue per module (£/yr)</t>
        </is>
      </c>
    </row>
    <row r="13">
      <c r="A13" s="31" t="inlineStr">
        <is>
          <t>Rack rate (£/kW/month)</t>
        </is>
      </c>
      <c r="B13" s="37">
        <f>'1. Module Criteria'!B6</f>
        <v/>
      </c>
      <c r="C13" t="inlineStr">
        <is>
          <t>Input assumption - pulled from Module Criteria</t>
        </is>
      </c>
      <c r="F13" s="98" t="inlineStr">
        <is>
          <t>Pull compute pricing assumption</t>
        </is>
      </c>
      <c r="G13" s="99" t="inlineStr">
        <is>
          <t>Pulls value from 1. Module Criteria!B6</t>
        </is>
      </c>
      <c r="H13" s="99" t="inlineStr">
        <is>
          <t>9. System P&amp;L!B16 - Compute revenue per module (£/yr)</t>
        </is>
      </c>
    </row>
    <row r="14">
      <c r="A14" s="31" t="inlineStr">
        <is>
          <t>Operating hours/year</t>
        </is>
      </c>
      <c r="B14" s="31">
        <f>'5. Buyer Profile'!B18</f>
        <v/>
      </c>
      <c r="C14" t="inlineStr">
        <is>
          <t>From selected process profile</t>
        </is>
      </c>
      <c r="F14" s="98" t="inlineStr">
        <is>
          <t>Pull utilisation for revenue calc</t>
        </is>
      </c>
      <c r="G14" s="99" t="inlineStr">
        <is>
          <t>Pulls value from 5. Buyer Profile!B18</t>
        </is>
      </c>
      <c r="H14" s="99" t="n"/>
    </row>
    <row r="15">
      <c r="A15" s="31" t="inlineStr">
        <is>
          <t>Utilisation assumption (%)</t>
        </is>
      </c>
      <c r="B15" s="33">
        <f>'1. Module Criteria'!B7</f>
        <v/>
      </c>
      <c r="C15" t="inlineStr">
        <is>
          <t>Input assumption - pulled from Module Criteria</t>
        </is>
      </c>
      <c r="F15" s="98" t="inlineStr">
        <is>
          <t>Pull capacity utilisation rate</t>
        </is>
      </c>
      <c r="G15" s="99" t="inlineStr">
        <is>
          <t>Pulls value from 1. Module Criteria!B7</t>
        </is>
      </c>
      <c r="H15" s="99" t="inlineStr">
        <is>
          <t>9. System P&amp;L!B16 - Compute revenue per module (£/yr)</t>
        </is>
      </c>
    </row>
    <row r="16">
      <c r="A16" s="31" t="inlineStr">
        <is>
          <t>Compute revenue per module (£/yr)</t>
        </is>
      </c>
      <c r="B16" s="37">
        <f>B12*B13*12*B15</f>
        <v/>
      </c>
      <c r="C16" t="inlineStr">
        <is>
          <t>Racks × rate × 12 months × utilisation</t>
        </is>
      </c>
      <c r="F16" s="98" t="inlineStr">
        <is>
          <t>Calculate single module compute income</t>
        </is>
      </c>
      <c r="G16" s="99" t="inlineStr">
        <is>
          <t>Calculated from upstream values for Compute revenue per module (£/yr)</t>
        </is>
      </c>
      <c r="H16" s="99" t="inlineStr">
        <is>
          <t>9. System P&amp;L!B17 - TOTAL COMPUTE REVENUE (£/yr)</t>
        </is>
      </c>
    </row>
    <row r="17">
      <c r="A17" s="41" t="inlineStr">
        <is>
          <t>TOTAL COMPUTE REVENUE (£/yr)</t>
        </is>
      </c>
      <c r="B17" s="43">
        <f>B16*B7</f>
        <v/>
      </c>
      <c r="C17" s="41" t="inlineStr">
        <is>
          <t>Per module × number of modules</t>
        </is>
      </c>
      <c r="D17" s="17" t="n"/>
      <c r="E17" s="17" t="n"/>
      <c r="F17" s="94" t="inlineStr">
        <is>
          <t>Calculate all modules compute income</t>
        </is>
      </c>
      <c r="G17" s="94" t="inlineStr">
        <is>
          <t>Calculated from upstream values for TOTAL COMPUTE REVENUE (£/yr)</t>
        </is>
      </c>
      <c r="H17" s="94" t="inlineStr">
        <is>
          <t>9. System P&amp;L!B33 - Compute revenue (£/yr)</t>
        </is>
      </c>
    </row>
    <row r="18">
      <c r="F18" s="98" t="n"/>
      <c r="G18" s="99" t="n"/>
      <c r="H18" s="99" t="n"/>
    </row>
    <row r="19">
      <c r="A19" s="15" t="inlineStr">
        <is>
          <t>HEAT REVENUE</t>
        </is>
      </c>
      <c r="B19" s="15" t="n"/>
      <c r="C19" s="15" t="n"/>
      <c r="D19" s="15" t="n"/>
      <c r="E19" s="15" t="n"/>
      <c r="F19" s="97" t="n"/>
      <c r="G19" s="97" t="n"/>
      <c r="H19" s="97" t="n"/>
    </row>
    <row r="20">
      <c r="A20" s="31" t="inlineStr">
        <is>
          <t>Heat price (£/MWh)</t>
        </is>
      </c>
      <c r="B20" s="37">
        <f>'1. Module Criteria'!B29</f>
        <v/>
      </c>
      <c r="C20" t="inlineStr">
        <is>
          <t>Input assumption - pulled from Module Criteria</t>
        </is>
      </c>
      <c r="F20" s="98" t="inlineStr">
        <is>
          <t>Pull heat sales pricing</t>
        </is>
      </c>
      <c r="G20" s="99" t="inlineStr">
        <is>
          <t>Pulls value from 1. Module Criteria!B29</t>
        </is>
      </c>
      <c r="H20" s="99" t="inlineStr">
        <is>
          <t>9. System P&amp;L!B24 - Theoretical heat revenue (£/yr); 9. System P&amp;L!B27 - ACTUAL HEAT REVENUE (£/yr)</t>
        </is>
      </c>
    </row>
    <row r="21">
      <c r="A21" s="31" t="inlineStr">
        <is>
          <t>Buyer operating hours/year</t>
        </is>
      </c>
      <c r="B21" s="31">
        <f>'5. Buyer Profile'!B18</f>
        <v/>
      </c>
      <c r="C21" t="inlineStr">
        <is>
          <t>Hours buyer process runs annually</t>
        </is>
      </c>
      <c r="F21" s="98" t="inlineStr">
        <is>
          <t>Pull utilisation for revenue calc</t>
        </is>
      </c>
      <c r="G21" s="99" t="inlineStr">
        <is>
          <t>Pulls value from 5. Buyer Profile!B18</t>
        </is>
      </c>
      <c r="H21" s="99" t="inlineStr">
        <is>
          <t>9. System P&amp;L!B24 - Theoretical heat revenue (£/yr); 9. System P&amp;L!B27 - ACTUAL HEAT REVENUE (£/yr)</t>
        </is>
      </c>
    </row>
    <row r="22">
      <c r="F22" s="98" t="n"/>
      <c r="G22" s="99" t="n"/>
      <c r="H22" s="99" t="n"/>
    </row>
    <row r="23">
      <c r="A23" s="31" t="inlineStr">
        <is>
          <t>Theoretical heat output (kWth)</t>
        </is>
      </c>
      <c r="B23" s="30">
        <f>'5. Buyer Profile'!B48</f>
        <v/>
      </c>
      <c r="C23" t="inlineStr">
        <is>
          <t>Total system thermal generation capacity</t>
        </is>
      </c>
      <c r="F23" s="98" t="inlineStr">
        <is>
          <t>Calculate max heat sales potential</t>
        </is>
      </c>
      <c r="G23" s="99" t="inlineStr">
        <is>
          <t>Pulls value from 5. Buyer Profile!B46</t>
        </is>
      </c>
      <c r="H23" s="99" t="inlineStr">
        <is>
          <t>9. System P&amp;L!B24 - Theoretical heat revenue (£/yr); 9. System P&amp;L!B29 - Heat utilisation (%)</t>
        </is>
      </c>
    </row>
    <row r="24">
      <c r="A24" s="31" t="inlineStr">
        <is>
          <t>Theoretical heat revenue (£/yr)</t>
        </is>
      </c>
      <c r="B24" s="37">
        <f>B23*B21*B20/1000</f>
        <v/>
      </c>
      <c r="C24" t="inlineStr">
        <is>
          <t>kWth × hours ÷ 1000 × £/MWh = £ (if buyer absorbed all)</t>
        </is>
      </c>
      <c r="F24" s="98" t="inlineStr">
        <is>
          <t>Calculate max heat income potential</t>
        </is>
      </c>
      <c r="G24" s="99" t="inlineStr">
        <is>
          <t>Calculated from upstream values for Theoretical heat revenue (£/yr)</t>
        </is>
      </c>
      <c r="H24" s="99" t="inlineStr">
        <is>
          <t>9. System P&amp;L!B30 - Lost heat revenue (£/yr)</t>
        </is>
      </c>
    </row>
    <row r="25">
      <c r="F25" s="98" t="n"/>
      <c r="G25" s="99" t="n"/>
      <c r="H25" s="99" t="n"/>
    </row>
    <row r="26">
      <c r="A26" s="31" t="inlineStr">
        <is>
          <t>Actual buyer absorption (kWth)</t>
        </is>
      </c>
      <c r="B26" s="30">
        <f>'5. Buyer Profile'!B49</f>
        <v/>
      </c>
      <c r="C26" t="inlineStr">
        <is>
          <t>Limited by buyer heat demand</t>
        </is>
      </c>
      <c r="F26" s="98" t="inlineStr">
        <is>
          <t>Pull actual heat buyer takes</t>
        </is>
      </c>
      <c r="G26" s="99" t="inlineStr">
        <is>
          <t>Pulls value from 5. Buyer Profile!B47</t>
        </is>
      </c>
      <c r="H26" s="99" t="inlineStr">
        <is>
          <t>9. System P&amp;L!B27 - ACTUAL HEAT REVENUE (£/yr); 9. System P&amp;L!B29 - Heat utilisation (%)</t>
        </is>
      </c>
    </row>
    <row r="27">
      <c r="A27" s="41" t="inlineStr">
        <is>
          <t>ACTUAL HEAT REVENUE (£/yr)</t>
        </is>
      </c>
      <c r="B27" s="43">
        <f>B26*B21*B20/1000</f>
        <v/>
      </c>
      <c r="C27" s="41" t="inlineStr">
        <is>
          <t>kWth × hours ÷ 1000 × £/MWh = £</t>
        </is>
      </c>
      <c r="D27" s="17" t="n"/>
      <c r="E27" s="17" t="n"/>
      <c r="F27" s="94" t="inlineStr">
        <is>
          <t>Calculate realised heat income</t>
        </is>
      </c>
      <c r="G27" s="94" t="inlineStr">
        <is>
          <t>Calculated from upstream values for ACTUAL HEAT REVENUE (£/yr)</t>
        </is>
      </c>
      <c r="H27" s="94" t="inlineStr">
        <is>
          <t>9. System P&amp;L!B30 - Lost heat revenue (£/yr); 9. System P&amp;L!B34 - Heat revenue (£/yr)</t>
        </is>
      </c>
    </row>
    <row r="28">
      <c r="F28" s="98" t="n"/>
      <c r="G28" s="99" t="n"/>
      <c r="H28" s="99" t="n"/>
    </row>
    <row r="29">
      <c r="A29" s="31" t="inlineStr">
        <is>
          <t>Heat utilisation (%)</t>
        </is>
      </c>
      <c r="B29" s="33">
        <f>IF(B23&gt;0,B26/B23,0)</f>
        <v/>
      </c>
      <c r="C29" t="inlineStr">
        <is>
          <t>Actual absorption ÷ theoretical output</t>
        </is>
      </c>
      <c r="F29" s="98" t="inlineStr">
        <is>
          <t>Measure heat sales efficiency</t>
        </is>
      </c>
      <c r="G29" s="99" t="inlineStr">
        <is>
          <t>Conditional logic for Heat utilisation (%)</t>
        </is>
      </c>
      <c r="H29" s="99" t="inlineStr">
        <is>
          <t>9. System P&amp;L!B53 - Heat utilisation efficiency (%)</t>
        </is>
      </c>
    </row>
    <row r="30">
      <c r="A30" s="31" t="inlineStr">
        <is>
          <t>Lost heat revenue (£/yr)</t>
        </is>
      </c>
      <c r="B30" s="37">
        <f>B24-B27</f>
        <v/>
      </c>
      <c r="C30" t="inlineStr">
        <is>
          <t>Foregone income from excess heat - key efficiency metric</t>
        </is>
      </c>
      <c r="F30" s="98" t="inlineStr">
        <is>
          <t>Quantify revenue lost to rejection</t>
        </is>
      </c>
      <c r="G30" s="99" t="inlineStr">
        <is>
          <t>Calculated from upstream values for Lost heat revenue (£/yr)</t>
        </is>
      </c>
      <c r="H30" s="99" t="inlineStr">
        <is>
          <t>9. System P&amp;L!B54 - Revenue lost to heat rejection (£/y...</t>
        </is>
      </c>
    </row>
    <row r="31">
      <c r="F31" s="98" t="n"/>
      <c r="G31" s="99" t="n"/>
      <c r="H31" s="99" t="n"/>
    </row>
    <row r="32">
      <c r="A32" s="15" t="inlineStr">
        <is>
          <t>TOTAL REVENUE</t>
        </is>
      </c>
      <c r="B32" s="15" t="n"/>
      <c r="C32" s="15" t="n"/>
      <c r="D32" s="15" t="n"/>
      <c r="E32" s="15" t="n"/>
      <c r="F32" s="97" t="n"/>
      <c r="G32" s="97" t="n"/>
      <c r="H32" s="97" t="n"/>
    </row>
    <row r="33">
      <c r="A33" s="31" t="inlineStr">
        <is>
          <t>Compute revenue (£/yr)</t>
        </is>
      </c>
      <c r="B33" s="37">
        <f>B17</f>
        <v/>
      </c>
      <c r="F33" s="98" t="inlineStr">
        <is>
          <t>Financial input or calculation</t>
        </is>
      </c>
      <c r="G33" s="99" t="inlineStr">
        <is>
          <t>Formula: Compute revenue (£/yr)</t>
        </is>
      </c>
      <c r="H33" s="99" t="inlineStr">
        <is>
          <t>9. System P&amp;L!B35 - TOTAL REVENUE (£/yr)</t>
        </is>
      </c>
    </row>
    <row r="34">
      <c r="A34" s="31" t="inlineStr">
        <is>
          <t>Heat revenue (£/yr)</t>
        </is>
      </c>
      <c r="B34" s="37">
        <f>B27</f>
        <v/>
      </c>
      <c r="F34" s="98" t="inlineStr">
        <is>
          <t>Financial input or calculation</t>
        </is>
      </c>
      <c r="G34" s="99" t="inlineStr">
        <is>
          <t>Formula: Heat revenue (£/yr)</t>
        </is>
      </c>
      <c r="H34" s="99" t="inlineStr">
        <is>
          <t>9. System P&amp;L!B35 - TOTAL REVENUE (£/yr); 9. System P&amp;L!B36 - Heat as % of total revenue</t>
        </is>
      </c>
    </row>
    <row r="35">
      <c r="A35" s="94" t="inlineStr">
        <is>
          <t>TOTAL REVENUE (£/yr)</t>
        </is>
      </c>
      <c r="B35" s="95">
        <f>B33+B34</f>
        <v/>
      </c>
      <c r="C35" s="94" t="n"/>
      <c r="D35" s="94" t="n"/>
      <c r="E35" s="94" t="n"/>
      <c r="F35" s="94" t="inlineStr">
        <is>
          <t>Sum all revenue streams</t>
        </is>
      </c>
      <c r="G35" s="94" t="inlineStr">
        <is>
          <t>Calculated from upstream values for TOTAL REVENUE (£/yr)</t>
        </is>
      </c>
      <c r="H35" s="94" t="inlineStr">
        <is>
          <t>9. System P&amp;L!B36 - Heat as % of total revenue; 9. System P&amp;L!B45 - Gross profit (£/yr); 9. System P&amp;L!B46 - Gross margin (%)</t>
        </is>
      </c>
    </row>
    <row r="36">
      <c r="A36" s="31" t="inlineStr">
        <is>
          <t>Heat as % of total revenue</t>
        </is>
      </c>
      <c r="B36" s="75">
        <f>IF(B35&gt;0,B34/B35,0)</f>
        <v/>
      </c>
      <c r="C36" t="inlineStr">
        <is>
          <t>Contribution of heat sales to total revenue</t>
        </is>
      </c>
      <c r="F36" s="98" t="inlineStr">
        <is>
          <t>Sum all revenue streams</t>
        </is>
      </c>
      <c r="G36" s="99" t="inlineStr">
        <is>
          <t>Conditional logic for Heat as % of total revenue</t>
        </is>
      </c>
      <c r="H36" s="99" t="n"/>
    </row>
    <row r="37">
      <c r="F37" s="98" t="n"/>
      <c r="G37" s="99" t="n"/>
      <c r="H37" s="99" t="n"/>
    </row>
    <row r="38">
      <c r="A38" s="15" t="inlineStr">
        <is>
          <t>OPERATING COSTS</t>
        </is>
      </c>
      <c r="B38" s="15" t="n"/>
      <c r="C38" s="15" t="n"/>
      <c r="D38" s="15" t="n"/>
      <c r="E38" s="15" t="n"/>
      <c r="F38" s="97" t="n"/>
      <c r="G38" s="97" t="n"/>
      <c r="H38" s="97" t="n"/>
    </row>
    <row r="39">
      <c r="A39" s="31" t="inlineStr">
        <is>
          <t>Base system opex (£/yr)</t>
        </is>
      </c>
      <c r="B39" s="37">
        <f>'7. System Opex'!B23</f>
        <v/>
      </c>
      <c r="C39" t="inlineStr">
        <is>
          <t>Module opex + shared overhead (excl. rejection)</t>
        </is>
      </c>
      <c r="F39" s="98" t="inlineStr">
        <is>
          <t>Pull core operating costs</t>
        </is>
      </c>
      <c r="G39" s="99" t="inlineStr">
        <is>
          <t>Pulls value from 7. System Opex!B23</t>
        </is>
      </c>
      <c r="H39" s="99" t="n"/>
    </row>
    <row r="40">
      <c r="A40" s="31" t="inlineStr">
        <is>
          <t>Heat rejection opex (£/yr)</t>
        </is>
      </c>
      <c r="B40" s="37">
        <f>'7. System Opex'!B28</f>
        <v/>
      </c>
      <c r="C40" t="inlineStr">
        <is>
          <t>Cost to reject excess heat</t>
        </is>
      </c>
      <c r="F40" s="98" t="inlineStr">
        <is>
          <t>Pull rejection operating costs</t>
        </is>
      </c>
      <c r="G40" s="99" t="inlineStr">
        <is>
          <t>Pulls value from 7. System Opex!B28</t>
        </is>
      </c>
      <c r="H40" s="99" t="inlineStr">
        <is>
          <t>9. System P&amp;L!B55 - Cost of heat rejection (£/yr)</t>
        </is>
      </c>
    </row>
    <row r="41">
      <c r="A41" t="inlineStr">
        <is>
          <t>Hydraulic augmentation opex (£/yr)</t>
        </is>
      </c>
      <c r="B41" s="37">
        <f>'7. System Opex'!B35</f>
        <v/>
      </c>
      <c r="F41" s="98" t="inlineStr">
        <is>
          <t>Pull pump operating costs</t>
        </is>
      </c>
      <c r="G41" s="99" t="inlineStr">
        <is>
          <t>Pulls value from 7. System Opex!B35</t>
        </is>
      </c>
      <c r="H41" s="99" t="n"/>
    </row>
    <row r="42">
      <c r="A42" s="94" t="inlineStr">
        <is>
          <t>TOTAL OPEX (£/yr)</t>
        </is>
      </c>
      <c r="B42" s="95">
        <f>'7. System Opex'!B37</f>
        <v/>
      </c>
      <c r="C42" s="94" t="n"/>
      <c r="D42" s="94" t="n"/>
      <c r="E42" s="94" t="n"/>
      <c r="F42" s="94" t="inlineStr">
        <is>
          <t>Sum all operating costs</t>
        </is>
      </c>
      <c r="G42" s="94" t="inlineStr">
        <is>
          <t>Pulls value from 7. System Opex!B37</t>
        </is>
      </c>
      <c r="H42" s="94" t="inlineStr">
        <is>
          <t>9. System P&amp;L!B45 - Gross profit (£/yr)</t>
        </is>
      </c>
    </row>
    <row r="43">
      <c r="F43" s="98" t="n"/>
      <c r="G43" s="99" t="n"/>
      <c r="H43" s="99" t="n"/>
    </row>
    <row r="44">
      <c r="A44" s="15" t="inlineStr">
        <is>
          <t>PROFIT &amp; RETURNS</t>
        </is>
      </c>
      <c r="B44" s="15" t="n"/>
      <c r="C44" s="15" t="n"/>
      <c r="D44" s="15" t="n"/>
      <c r="E44" s="15" t="n"/>
      <c r="F44" s="97" t="n"/>
      <c r="G44" s="97" t="n"/>
      <c r="H44" s="97" t="n"/>
    </row>
    <row r="45">
      <c r="A45" s="41" t="inlineStr">
        <is>
          <t>Gross profit (£/yr)</t>
        </is>
      </c>
      <c r="B45" s="43">
        <f>B35-B42</f>
        <v/>
      </c>
      <c r="C45" s="41" t="inlineStr">
        <is>
          <t>Total revenue - Total opex</t>
        </is>
      </c>
      <c r="D45" s="17" t="n"/>
      <c r="E45" s="17" t="n"/>
      <c r="F45" s="94" t="inlineStr">
        <is>
          <t>Calculate operating profit</t>
        </is>
      </c>
      <c r="G45" s="94" t="inlineStr">
        <is>
          <t>Calculated from upstream values for Gross profit (£/yr)</t>
        </is>
      </c>
      <c r="H45" s="94" t="inlineStr">
        <is>
          <t>9. System P&amp;L!B46 - Gross margin (%); 9. System P&amp;L!B49 - Simple payback (years); 9. System P&amp;L!B50 - Unlevered ROI (%); 9. System P&amp;L!B57 - Heat inefficiency as % of potential...</t>
        </is>
      </c>
    </row>
    <row r="46">
      <c r="A46" s="31" t="inlineStr">
        <is>
          <t>Gross margin (%)</t>
        </is>
      </c>
      <c r="B46" s="75">
        <f>IF(B35&gt;0,B45/B35,0)</f>
        <v/>
      </c>
      <c r="C46" t="inlineStr">
        <is>
          <t>Gross profit ÷ Total revenue</t>
        </is>
      </c>
      <c r="F46" s="98" t="inlineStr">
        <is>
          <t>Calculate profit percentage</t>
        </is>
      </c>
      <c r="G46" s="99" t="inlineStr">
        <is>
          <t>Conditional logic for Gross margin (%)</t>
        </is>
      </c>
      <c r="H46" s="99" t="n"/>
    </row>
    <row r="47">
      <c r="F47" s="98" t="n"/>
      <c r="G47" s="99" t="n"/>
      <c r="H47" s="99" t="n"/>
    </row>
    <row r="48">
      <c r="A48" s="31" t="inlineStr">
        <is>
          <t>Total system capex (£)</t>
        </is>
      </c>
      <c r="B48" s="37">
        <f>'6. System Capex'!B46</f>
        <v/>
      </c>
      <c r="F48" s="98" t="inlineStr">
        <is>
          <t>Pull investment requirement</t>
        </is>
      </c>
      <c r="G48" s="99" t="inlineStr">
        <is>
          <t>Pulls value from 6. System Capex!B46</t>
        </is>
      </c>
      <c r="H48" s="99" t="inlineStr">
        <is>
          <t>9. System P&amp;L!B49 - Simple payback (years); 9. System P&amp;L!B50 - Unlevered ROI (%)</t>
        </is>
      </c>
    </row>
    <row r="49">
      <c r="A49" s="41" t="inlineStr">
        <is>
          <t>Simple payback (years)</t>
        </is>
      </c>
      <c r="B49" s="51">
        <f>IF(B45&gt;0,B48/B45,0)</f>
        <v/>
      </c>
      <c r="C49" s="41" t="inlineStr">
        <is>
          <t>Capex ÷ Annual profit (ignores time value of money)</t>
        </is>
      </c>
      <c r="D49" s="17" t="n"/>
      <c r="E49" s="17" t="n"/>
      <c r="F49" s="94" t="inlineStr">
        <is>
          <t>Calculate investment recovery time</t>
        </is>
      </c>
      <c r="G49" s="94" t="inlineStr">
        <is>
          <t>Conditional logic for Simple payback (years)</t>
        </is>
      </c>
      <c r="H49" s="94" t="n"/>
    </row>
    <row r="50">
      <c r="A50" s="41" t="inlineStr">
        <is>
          <t>Unlevered ROI (%)</t>
        </is>
      </c>
      <c r="B50" s="52">
        <f>IF(B48&gt;0,B45/B48,0)</f>
        <v/>
      </c>
      <c r="C50" s="41" t="inlineStr">
        <is>
          <t>Annual profit ÷ Capex</t>
        </is>
      </c>
      <c r="D50" s="17" t="n"/>
      <c r="E50" s="17" t="n"/>
      <c r="F50" s="94" t="inlineStr">
        <is>
          <t>Calculate return on investment</t>
        </is>
      </c>
      <c r="G50" s="94" t="inlineStr">
        <is>
          <t>Conditional logic for Unlevered ROI (%)</t>
        </is>
      </c>
      <c r="H50" s="94" t="n"/>
    </row>
    <row r="51">
      <c r="F51" s="98" t="n"/>
      <c r="G51" s="99" t="n"/>
      <c r="H51" s="99" t="n"/>
    </row>
    <row r="52">
      <c r="A52" s="15" t="inlineStr">
        <is>
          <t>EFFICIENCY METRICS</t>
        </is>
      </c>
      <c r="B52" s="15" t="n"/>
      <c r="C52" s="15" t="n"/>
      <c r="D52" s="15" t="n"/>
      <c r="E52" s="15" t="n"/>
      <c r="F52" s="97" t="n"/>
      <c r="G52" s="97" t="n"/>
      <c r="H52" s="97" t="n"/>
    </row>
    <row r="53">
      <c r="A53" s="31" t="inlineStr">
        <is>
          <t>Heat utilisation efficiency (%)</t>
        </is>
      </c>
      <c r="B53" s="33">
        <f>B29</f>
        <v/>
      </c>
      <c r="C53" t="inlineStr">
        <is>
          <t>Proportion of generated heat actually sold</t>
        </is>
      </c>
      <c r="F53" s="98" t="inlineStr">
        <is>
          <t>Measure heat sales efficiency</t>
        </is>
      </c>
      <c r="G53" s="99" t="inlineStr">
        <is>
          <t>Formula: Heat utilisation efficiency (%)</t>
        </is>
      </c>
      <c r="H53" s="99" t="n"/>
    </row>
    <row r="54">
      <c r="A54" s="31" t="inlineStr">
        <is>
          <t>Revenue lost to heat rejection (£/yr)</t>
        </is>
      </c>
      <c r="B54" s="37">
        <f>B30</f>
        <v/>
      </c>
      <c r="C54" t="inlineStr">
        <is>
          <t>Foregone heat revenue due to oversizing</t>
        </is>
      </c>
      <c r="F54" s="98" t="inlineStr">
        <is>
          <t>Quantify rejection revenue impact</t>
        </is>
      </c>
      <c r="G54" s="99" t="inlineStr">
        <is>
          <t>Formula: Revenue lost to heat rejection (£/yr)</t>
        </is>
      </c>
      <c r="H54" s="99" t="inlineStr">
        <is>
          <t>9. System P&amp;L!B56 - Total heat inefficiency cost (£/yr)</t>
        </is>
      </c>
    </row>
    <row r="55">
      <c r="A55" s="31" t="inlineStr">
        <is>
          <t>Cost of heat rejection (£/yr)</t>
        </is>
      </c>
      <c r="B55" s="37">
        <f>B40</f>
        <v/>
      </c>
      <c r="C55" t="inlineStr">
        <is>
          <t>Opex to reject unsold heat</t>
        </is>
      </c>
      <c r="F55" s="98" t="inlineStr">
        <is>
          <t>Quantify rejection cost impact</t>
        </is>
      </c>
      <c r="G55" s="99" t="inlineStr">
        <is>
          <t>Formula: Cost of heat rejection (£/yr)</t>
        </is>
      </c>
      <c r="H55" s="99" t="inlineStr">
        <is>
          <t>9. System P&amp;L!B56 - Total heat inefficiency cost (£/yr)</t>
        </is>
      </c>
    </row>
    <row r="56">
      <c r="A56" s="31" t="inlineStr">
        <is>
          <t>Total heat inefficiency cost (£/yr)</t>
        </is>
      </c>
      <c r="B56" s="37">
        <f>B54+B55</f>
        <v/>
      </c>
      <c r="C56" t="inlineStr">
        <is>
          <t>Lost revenue + rejection cost = true cost of thermal mismatch</t>
        </is>
      </c>
      <c r="F56" s="98" t="inlineStr">
        <is>
          <t>Sum heat-related losses</t>
        </is>
      </c>
      <c r="G56" s="99" t="inlineStr">
        <is>
          <t>Calculated from upstream values for Total heat inefficiency cost (£/yr)</t>
        </is>
      </c>
      <c r="H56" s="99" t="inlineStr">
        <is>
          <t>9. System P&amp;L!B57 - Heat inefficiency as % of potential...</t>
        </is>
      </c>
    </row>
    <row r="57">
      <c r="A57" s="31" t="inlineStr">
        <is>
          <t>Heat inefficiency as % of potential profit</t>
        </is>
      </c>
      <c r="B57" s="33">
        <f>IF((B45+B56)&gt;0,B56/(B45+B56),0)</f>
        <v/>
      </c>
      <c r="C57" t="inlineStr">
        <is>
          <t>Shows how much profit is eroded by thermal mismatch</t>
        </is>
      </c>
      <c r="F57" s="98" t="inlineStr">
        <is>
          <t>Show heat loss as share of potential</t>
        </is>
      </c>
      <c r="G57" s="99" t="inlineStr">
        <is>
          <t>Conditional logic for Heat inefficiency as % of potential profit</t>
        </is>
      </c>
      <c r="H57" s="99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10" defaultColWidth="8.83203125" defaultRowHeight="15"/>
  <cols>
    <col width="30" customWidth="1" min="1" max="1"/>
    <col width="15" customWidth="1" min="2" max="4"/>
    <col width="45" customWidth="1" min="5" max="6"/>
    <col width="50" customWidth="1" min="7" max="7"/>
    <col width="60" customWidth="1" min="8" max="8"/>
  </cols>
  <sheetData>
    <row r="1">
      <c r="A1" s="15" t="inlineStr">
        <is>
          <t>REFERENCE DATA</t>
        </is>
      </c>
      <c r="B1" s="15" t="n"/>
      <c r="C1" s="15" t="n"/>
      <c r="D1" s="15" t="n"/>
      <c r="E1" s="15" t="n"/>
      <c r="F1" s="97" t="inlineStr">
        <is>
          <t>Intent</t>
        </is>
      </c>
      <c r="G1" s="97" t="inlineStr">
        <is>
          <t>Explanation</t>
        </is>
      </c>
      <c r="H1" s="97" t="inlineStr">
        <is>
          <t>Dependents</t>
        </is>
      </c>
    </row>
    <row r="2">
      <c r="A2" s="31" t="inlineStr">
        <is>
          <t>Lookup tables and assumptions used throughout the model</t>
        </is>
      </c>
      <c r="F2" s="98" t="inlineStr">
        <is>
          <t>Model parameter</t>
        </is>
      </c>
      <c r="G2" s="99" t="inlineStr">
        <is>
          <t>Row label only</t>
        </is>
      </c>
      <c r="H2" s="99" t="n"/>
    </row>
    <row r="3">
      <c r="A3" s="31" t="inlineStr">
        <is>
          <t>Yellow cells are adjustable inputs</t>
        </is>
      </c>
      <c r="F3" s="98" t="inlineStr">
        <is>
          <t>Model parameter</t>
        </is>
      </c>
      <c r="G3" s="99" t="inlineStr">
        <is>
          <t>Row label only</t>
        </is>
      </c>
      <c r="H3" s="99" t="n"/>
    </row>
    <row r="4">
      <c r="F4" s="98" t="n"/>
      <c r="G4" s="99" t="n"/>
      <c r="H4" s="99" t="n"/>
    </row>
    <row r="5">
      <c r="A5" s="15" t="inlineStr">
        <is>
          <t>HEAT REJECTION INFRASTRUCTURE</t>
        </is>
      </c>
      <c r="B5" s="15" t="n"/>
      <c r="C5" s="15" t="n"/>
      <c r="D5" s="15" t="n"/>
      <c r="E5" s="15" t="n"/>
      <c r="F5" s="97" t="n"/>
      <c r="G5" s="97" t="n"/>
      <c r="H5" s="97" t="n"/>
    </row>
    <row r="6">
      <c r="A6" s="31" t="inlineStr">
        <is>
          <t>Equipment selection based on total system thermal output (worst-case sizing)</t>
        </is>
      </c>
      <c r="F6" s="98" t="inlineStr">
        <is>
          <t>Reference cost for thermal equipment</t>
        </is>
      </c>
      <c r="G6" s="99" t="inlineStr">
        <is>
          <t>Row label only</t>
        </is>
      </c>
      <c r="H6" s="99" t="n"/>
    </row>
    <row r="7">
      <c r="A7" s="31" t="inlineStr">
        <is>
          <t>Operating costs based on actual excess heat rejected</t>
        </is>
      </c>
      <c r="F7" s="98" t="inlineStr">
        <is>
          <t>Financial input or calculation</t>
        </is>
      </c>
      <c r="G7" s="99" t="inlineStr">
        <is>
          <t>Row label only</t>
        </is>
      </c>
      <c r="H7" s="99" t="n"/>
    </row>
    <row r="8">
      <c r="F8" s="98" t="n"/>
      <c r="G8" s="99" t="n"/>
      <c r="H8" s="99" t="n"/>
    </row>
    <row r="9">
      <c r="A9" s="46" t="inlineStr">
        <is>
          <t>Method</t>
        </is>
      </c>
      <c r="B9" s="46" t="inlineStr">
        <is>
          <t>Capacity Range</t>
        </is>
      </c>
      <c r="C9" s="46" t="inlineStr">
        <is>
          <t>Capex (£/kWth)</t>
        </is>
      </c>
      <c r="D9" s="46" t="inlineStr">
        <is>
          <t>Opex (£/kWth/yr)</t>
        </is>
      </c>
      <c r="E9" s="46" t="inlineStr">
        <is>
          <t>Notes</t>
        </is>
      </c>
      <c r="F9" s="94" t="inlineStr">
        <is>
          <t>Model parameter</t>
        </is>
      </c>
      <c r="G9" s="94" t="inlineStr">
        <is>
          <t>Text value for Method</t>
        </is>
      </c>
      <c r="H9" s="94" t="n"/>
    </row>
    <row r="10">
      <c r="A10" s="47" t="inlineStr">
        <is>
          <t>Dry cooler</t>
        </is>
      </c>
      <c r="B10" s="14" t="inlineStr">
        <is>
          <t>&lt;100 kWth</t>
        </is>
      </c>
      <c r="C10" s="28" t="n">
        <v>150</v>
      </c>
      <c r="D10" s="28" t="n">
        <v>70</v>
      </c>
      <c r="E10" s="14" t="inlineStr">
        <is>
          <t>Air-cooled, no water consumption. Limited by ambient temp on hot days.</t>
        </is>
      </c>
      <c r="F10" s="98" t="inlineStr">
        <is>
          <t>Reference cost for rejection equipment</t>
        </is>
      </c>
      <c r="G10" s="99" t="inlineStr">
        <is>
          <t>Text value for Dry cooler</t>
        </is>
      </c>
      <c r="H10" s="99" t="n"/>
    </row>
    <row r="11">
      <c r="A11" s="47" t="inlineStr">
        <is>
          <t>Adiabatic cooler</t>
        </is>
      </c>
      <c r="B11" s="14" t="inlineStr">
        <is>
          <t>100-499 kWth</t>
        </is>
      </c>
      <c r="C11" s="28" t="n">
        <v>220</v>
      </c>
      <c r="D11" s="28" t="n">
        <v>110</v>
      </c>
      <c r="E11" s="14" t="inlineStr">
        <is>
          <t>Spray-assisted cooling. Higher capex, water consumption adds to opex.</t>
        </is>
      </c>
      <c r="F11" s="98" t="inlineStr">
        <is>
          <t>Reference cost for rejection equipment</t>
        </is>
      </c>
      <c r="G11" s="99" t="inlineStr">
        <is>
          <t>Text value for Adiabatic cooler</t>
        </is>
      </c>
      <c r="H11" s="99" t="n"/>
    </row>
    <row r="12">
      <c r="A12" s="47" t="inlineStr">
        <is>
          <t>Cooling tower</t>
        </is>
      </c>
      <c r="B12" s="14" t="inlineStr">
        <is>
          <t>≥500 kWth</t>
        </is>
      </c>
      <c r="C12" s="28" t="n">
        <v>180</v>
      </c>
      <c r="D12" s="28" t="n">
        <v>95</v>
      </c>
      <c r="E12" s="14" t="inlineStr">
        <is>
          <t>Evaporative cooling. Most efficient at scale, requires water treatment.</t>
        </is>
      </c>
      <c r="F12" s="98" t="inlineStr">
        <is>
          <t>Reference cost for rejection equipment</t>
        </is>
      </c>
      <c r="G12" s="99" t="inlineStr">
        <is>
          <t>Text value for Cooling tower</t>
        </is>
      </c>
      <c r="H12" s="99" t="n"/>
    </row>
    <row r="13">
      <c r="F13" s="98" t="n"/>
      <c r="G13" s="99" t="n"/>
      <c r="H13" s="99" t="n"/>
    </row>
    <row r="14">
      <c r="A14" s="41" t="inlineStr">
        <is>
          <t>Capacity Thresholds</t>
        </is>
      </c>
      <c r="B14" s="41" t="n"/>
      <c r="C14" s="41" t="n"/>
      <c r="D14" s="41" t="n"/>
      <c r="E14" s="41" t="n"/>
      <c r="F14" s="94" t="inlineStr">
        <is>
          <t>Reference decision boundary value</t>
        </is>
      </c>
      <c r="G14" s="94" t="inlineStr">
        <is>
          <t>Row label only</t>
        </is>
      </c>
      <c r="H14" s="94" t="n"/>
    </row>
    <row r="15">
      <c r="A15" s="31" t="inlineStr">
        <is>
          <t>Dry cooler max (kWth)</t>
        </is>
      </c>
      <c r="B15" s="27" t="n">
        <v>100</v>
      </c>
      <c r="F15" s="98" t="inlineStr">
        <is>
          <t>Reference cost for rejection equipment</t>
        </is>
      </c>
      <c r="G15" s="99" t="inlineStr">
        <is>
          <t>Input parameter: Dry cooler max (kWth)</t>
        </is>
      </c>
      <c r="H15" s="99" t="inlineStr">
        <is>
          <t>5. Buyer Profile!B51 - Rejection method</t>
        </is>
      </c>
    </row>
    <row r="16">
      <c r="A16" s="31" t="inlineStr">
        <is>
          <t>Adiabatic cooler max (kWth)</t>
        </is>
      </c>
      <c r="B16" s="27" t="n">
        <v>500</v>
      </c>
      <c r="F16" s="98" t="inlineStr">
        <is>
          <t>Reference cost for rejection equipment</t>
        </is>
      </c>
      <c r="G16" s="99" t="inlineStr">
        <is>
          <t>Input parameter: Adiabatic cooler max (kWth)</t>
        </is>
      </c>
      <c r="H16" s="99" t="inlineStr">
        <is>
          <t>5. Buyer Profile!B51 - Rejection method</t>
        </is>
      </c>
    </row>
    <row r="17">
      <c r="F17" s="98" t="n"/>
      <c r="G17" s="99" t="n"/>
      <c r="H17" s="99" t="n"/>
    </row>
    <row r="18">
      <c r="F18" s="98" t="n"/>
      <c r="G18" s="99" t="n"/>
      <c r="H18" s="99" t="n"/>
    </row>
    <row r="19">
      <c r="A19" s="15" t="inlineStr">
        <is>
          <t>COOLING METHOD CHARACTERISTICS</t>
        </is>
      </c>
      <c r="B19" s="15" t="n"/>
      <c r="C19" s="15" t="n"/>
      <c r="D19" s="15" t="n"/>
      <c r="E19" s="15" t="n"/>
      <c r="F19" s="97" t="n"/>
      <c r="G19" s="97" t="n"/>
      <c r="H19" s="97" t="n"/>
    </row>
    <row r="20">
      <c r="A20" s="31" t="inlineStr">
        <is>
          <t>Performance and cost characteristics by liquid cooling approach</t>
        </is>
      </c>
      <c r="F20" s="98" t="inlineStr">
        <is>
          <t>Financial input or calculation</t>
        </is>
      </c>
      <c r="G20" s="99" t="inlineStr">
        <is>
          <t>Row label only</t>
        </is>
      </c>
      <c r="H20" s="99" t="n"/>
    </row>
    <row r="21">
      <c r="F21" s="98" t="n"/>
      <c r="G21" s="99" t="n"/>
      <c r="H21" s="99" t="n"/>
    </row>
    <row r="22">
      <c r="A22" s="46" t="inlineStr">
        <is>
          <t>Cooling Method</t>
        </is>
      </c>
      <c r="B22" s="46" t="inlineStr">
        <is>
          <t>Heat Capture</t>
        </is>
      </c>
      <c r="C22" s="46" t="inlineStr">
        <is>
          <t>Capture Temp</t>
        </is>
      </c>
      <c r="D22" s="46" t="inlineStr">
        <is>
          <t>Capex Premium</t>
        </is>
      </c>
      <c r="E22" s="62" t="inlineStr">
        <is>
          <t>Source ΔT (°C)</t>
        </is>
      </c>
      <c r="F22" s="94" t="inlineStr">
        <is>
          <t>Model parameter</t>
        </is>
      </c>
      <c r="G22" s="94" t="inlineStr">
        <is>
          <t>Text value for Cooling Method</t>
        </is>
      </c>
      <c r="H22" s="94" t="n"/>
    </row>
    <row r="23">
      <c r="A23" s="47" t="inlineStr">
        <is>
          <t>Direct-to-Chip (DTC)</t>
        </is>
      </c>
      <c r="B23" s="14" t="inlineStr">
        <is>
          <t>75%</t>
        </is>
      </c>
      <c r="C23" s="14" t="inlineStr">
        <is>
          <t>57.5°C</t>
        </is>
      </c>
      <c r="D23" s="14" t="inlineStr">
        <is>
          <t>+15%</t>
        </is>
      </c>
      <c r="E23" s="63" t="n">
        <v>10</v>
      </c>
      <c r="F23" s="98" t="inlineStr">
        <is>
          <t>Model parameter</t>
        </is>
      </c>
      <c r="G23" s="99" t="inlineStr">
        <is>
          <t>Text value for Direct-to-Chip (DTC)</t>
        </is>
      </c>
      <c r="H23" s="99" t="n"/>
    </row>
    <row r="24">
      <c r="A24" s="47" t="inlineStr">
        <is>
          <t>Single-Phase Immersion</t>
        </is>
      </c>
      <c r="B24" s="14" t="inlineStr">
        <is>
          <t>95%</t>
        </is>
      </c>
      <c r="C24" s="14" t="inlineStr">
        <is>
          <t>50°C</t>
        </is>
      </c>
      <c r="D24" s="14" t="inlineStr">
        <is>
          <t>+25%</t>
        </is>
      </c>
      <c r="E24" s="63" t="n">
        <v>6</v>
      </c>
      <c r="F24" s="98" t="inlineStr">
        <is>
          <t>Reference cost for immersion equipment</t>
        </is>
      </c>
      <c r="G24" s="99" t="inlineStr">
        <is>
          <t>Text value for Single-Phase Immersion</t>
        </is>
      </c>
      <c r="H24" s="99" t="n"/>
    </row>
    <row r="25">
      <c r="A25" s="47" t="inlineStr">
        <is>
          <t>Two-Phase Immersion</t>
        </is>
      </c>
      <c r="B25" s="14" t="inlineStr">
        <is>
          <t>98%</t>
        </is>
      </c>
      <c r="C25" s="14" t="inlineStr">
        <is>
          <t>55°C</t>
        </is>
      </c>
      <c r="D25" s="14" t="inlineStr">
        <is>
          <t>+40%</t>
        </is>
      </c>
      <c r="E25" s="63" t="n">
        <v>3</v>
      </c>
      <c r="F25" s="98" t="inlineStr">
        <is>
          <t>Reference cost for immersion equipment</t>
        </is>
      </c>
      <c r="G25" s="99" t="inlineStr">
        <is>
          <t>Text value for Two-Phase Immersion</t>
        </is>
      </c>
      <c r="H25" s="99" t="n"/>
    </row>
    <row r="26">
      <c r="A26" s="47" t="inlineStr">
        <is>
          <t>Rear Door Heat Exchanger</t>
        </is>
      </c>
      <c r="B26" s="14" t="inlineStr">
        <is>
          <t>50%</t>
        </is>
      </c>
      <c r="C26" s="14" t="inlineStr">
        <is>
          <t>45°C</t>
        </is>
      </c>
      <c r="D26" s="14" t="inlineStr">
        <is>
          <t>+10%</t>
        </is>
      </c>
      <c r="E26" s="63" t="n">
        <v>12</v>
      </c>
      <c r="F26" s="98" t="inlineStr">
        <is>
          <t>Reference cost for thermal equipment</t>
        </is>
      </c>
      <c r="G26" s="99" t="inlineStr">
        <is>
          <t>Text value for Rear Door Heat Exchanger</t>
        </is>
      </c>
      <c r="H26" s="99" t="n"/>
    </row>
    <row r="27">
      <c r="A27" s="47" t="inlineStr">
        <is>
          <t>Air Cooled (Reference)</t>
        </is>
      </c>
      <c r="B27" s="14" t="inlineStr">
        <is>
          <t>5%</t>
        </is>
      </c>
      <c r="C27" s="14" t="inlineStr">
        <is>
          <t>35°C</t>
        </is>
      </c>
      <c r="D27" s="14" t="inlineStr">
        <is>
          <t>0%</t>
        </is>
      </c>
      <c r="E27" s="63" t="n">
        <v>15</v>
      </c>
      <c r="F27" s="98" t="inlineStr">
        <is>
          <t>Model parameter</t>
        </is>
      </c>
      <c r="G27" s="99" t="inlineStr">
        <is>
          <t>Text value for Air Cooled (Reference)</t>
        </is>
      </c>
      <c r="H27" s="99" t="n"/>
    </row>
    <row r="28">
      <c r="F28" s="98" t="n"/>
      <c r="G28" s="99" t="n"/>
      <c r="H28" s="99" t="n"/>
    </row>
    <row r="29">
      <c r="F29" s="98" t="n"/>
      <c r="G29" s="99" t="n"/>
      <c r="H29" s="99" t="n"/>
    </row>
    <row r="30">
      <c r="A30" s="15" t="inlineStr">
        <is>
          <t>CHIPSET SPECIFICATIONS</t>
        </is>
      </c>
      <c r="B30" s="15" t="n"/>
      <c r="C30" s="15" t="n"/>
      <c r="D30" s="15" t="n"/>
      <c r="E30" s="15" t="n"/>
      <c r="F30" s="97" t="n"/>
      <c r="G30" s="97" t="n"/>
      <c r="H30" s="97" t="n"/>
    </row>
    <row r="31">
      <c r="A31" s="31" t="inlineStr">
        <is>
          <t>GPU specifications by model</t>
        </is>
      </c>
      <c r="F31" s="98" t="inlineStr">
        <is>
          <t>Model parameter</t>
        </is>
      </c>
      <c r="G31" s="99" t="inlineStr">
        <is>
          <t>Row label only</t>
        </is>
      </c>
      <c r="H31" s="99" t="n"/>
    </row>
    <row r="32">
      <c r="F32" s="98" t="n"/>
      <c r="G32" s="99" t="n"/>
      <c r="H32" s="99" t="n"/>
    </row>
    <row r="33">
      <c r="A33" s="46" t="inlineStr">
        <is>
          <t>Chipset</t>
        </is>
      </c>
      <c r="B33" s="46" t="inlineStr">
        <is>
          <t>TDP (W)</t>
        </is>
      </c>
      <c r="C33" s="46" t="inlineStr">
        <is>
          <t>Chips/Server</t>
        </is>
      </c>
      <c r="D33" s="46" t="inlineStr">
        <is>
          <t>T_junction (°C)</t>
        </is>
      </c>
      <c r="E33" s="46" t="inlineStr">
        <is>
          <t>Notes</t>
        </is>
      </c>
      <c r="F33" s="94" t="inlineStr">
        <is>
          <t>Model parameter</t>
        </is>
      </c>
      <c r="G33" s="94" t="inlineStr">
        <is>
          <t>Text value for Chipset</t>
        </is>
      </c>
      <c r="H33" s="94" t="n"/>
    </row>
    <row r="34">
      <c r="A34" s="47" t="inlineStr">
        <is>
          <t>NVIDIA H100</t>
        </is>
      </c>
      <c r="B34" s="27" t="n">
        <v>700</v>
      </c>
      <c r="C34" s="27" t="n">
        <v>8</v>
      </c>
      <c r="D34" s="27" t="n">
        <v>83</v>
      </c>
      <c r="E34" s="14" t="inlineStr">
        <is>
          <t>Current gen. DTC reference design available.</t>
        </is>
      </c>
      <c r="F34" s="98" t="inlineStr">
        <is>
          <t>Reference specs for NVIDIA H100</t>
        </is>
      </c>
      <c r="G34" s="99" t="inlineStr">
        <is>
          <t>Section header</t>
        </is>
      </c>
      <c r="H34" s="99" t="n"/>
    </row>
    <row r="35">
      <c r="A35" s="47" t="inlineStr">
        <is>
          <t>NVIDIA H200</t>
        </is>
      </c>
      <c r="B35" s="27" t="n">
        <v>700</v>
      </c>
      <c r="C35" s="27" t="n">
        <v>8</v>
      </c>
      <c r="D35" s="27" t="n">
        <v>83</v>
      </c>
      <c r="E35" s="14" t="inlineStr">
        <is>
          <t>H100 + HBM3e memory upgrade. Same thermal.</t>
        </is>
      </c>
      <c r="F35" s="98" t="inlineStr">
        <is>
          <t>Reference specs for NVIDIA H200</t>
        </is>
      </c>
      <c r="G35" s="99" t="inlineStr">
        <is>
          <t>Section header</t>
        </is>
      </c>
      <c r="H35" s="99" t="n"/>
    </row>
    <row r="36">
      <c r="A36" s="47" t="inlineStr">
        <is>
          <t>NVIDIA B200</t>
        </is>
      </c>
      <c r="B36" s="27" t="n">
        <v>1000</v>
      </c>
      <c r="C36" s="27" t="n">
        <v>8</v>
      </c>
      <c r="D36" s="27" t="n">
        <v>85</v>
      </c>
      <c r="E36" s="14" t="inlineStr">
        <is>
          <t>Blackwell. Higher TDP, higher capture temps expected.</t>
        </is>
      </c>
      <c r="F36" s="98" t="inlineStr">
        <is>
          <t>Reference specs for NVIDIA B200</t>
        </is>
      </c>
      <c r="G36" s="99" t="inlineStr">
        <is>
          <t>Section header</t>
        </is>
      </c>
      <c r="H36" s="99" t="n"/>
    </row>
    <row r="37">
      <c r="A37" s="47" t="inlineStr">
        <is>
          <t>AMD MI300X</t>
        </is>
      </c>
      <c r="B37" s="27" t="n">
        <v>750</v>
      </c>
      <c r="C37" s="27" t="n">
        <v>8</v>
      </c>
      <c r="D37" s="27" t="n">
        <v>90</v>
      </c>
      <c r="E37" s="14" t="inlineStr">
        <is>
          <t>Instinct series. Competitive with H100.</t>
        </is>
      </c>
      <c r="F37" s="98" t="inlineStr">
        <is>
          <t>Reference specs for AMD MI300X</t>
        </is>
      </c>
      <c r="G37" s="99" t="inlineStr">
        <is>
          <t>Section header</t>
        </is>
      </c>
      <c r="H37" s="99" t="n"/>
    </row>
    <row r="38">
      <c r="A38" s="47" t="inlineStr">
        <is>
          <t>Intel Gaudi 3</t>
        </is>
      </c>
      <c r="B38" s="27" t="n">
        <v>600</v>
      </c>
      <c r="C38" s="27" t="n">
        <v>8</v>
      </c>
      <c r="D38" s="27" t="n">
        <v>95</v>
      </c>
      <c r="E38" s="14" t="inlineStr">
        <is>
          <t>AI accelerator. Lower TDP.</t>
        </is>
      </c>
      <c r="F38" s="98" t="inlineStr">
        <is>
          <t>Model parameter</t>
        </is>
      </c>
      <c r="G38" s="99" t="inlineStr">
        <is>
          <t>Input parameter: Intel Gaudi 3</t>
        </is>
      </c>
      <c r="H38" s="99" t="n"/>
    </row>
    <row r="39">
      <c r="F39" s="98" t="n"/>
      <c r="G39" s="99" t="n"/>
      <c r="H39" s="99" t="n"/>
    </row>
    <row r="40">
      <c r="F40" s="98" t="n"/>
      <c r="G40" s="99" t="n"/>
      <c r="H40" s="99" t="n"/>
    </row>
    <row r="41">
      <c r="A41" s="15" t="inlineStr">
        <is>
          <t>HEAT PUMP ECONOMICS</t>
        </is>
      </c>
      <c r="B41" s="15" t="n"/>
      <c r="C41" s="15" t="n"/>
      <c r="D41" s="15" t="n"/>
      <c r="E41" s="15" t="n"/>
      <c r="F41" s="97" t="n"/>
      <c r="G41" s="97" t="n"/>
      <c r="H41" s="97" t="n"/>
    </row>
    <row r="42">
      <c r="A42" s="31" t="inlineStr">
        <is>
          <t>COP and operating cost by temperature lift</t>
        </is>
      </c>
      <c r="F42" s="98" t="inlineStr">
        <is>
          <t>Reference heat pump efficiency parameters</t>
        </is>
      </c>
      <c r="G42" s="99" t="inlineStr">
        <is>
          <t>Row label only</t>
        </is>
      </c>
      <c r="H42" s="99" t="n"/>
    </row>
    <row r="43">
      <c r="F43" s="98" t="n"/>
      <c r="G43" s="99" t="n"/>
      <c r="H43" s="99" t="n"/>
    </row>
    <row r="44">
      <c r="A44" s="41" t="inlineStr">
        <is>
          <t>Target delivery temp (°C)</t>
        </is>
      </c>
      <c r="B44" s="48" t="n">
        <v>75</v>
      </c>
      <c r="C44" s="41" t="inlineStr">
        <is>
          <t>Reference COPs at this delivery temp (using η from row 110)</t>
        </is>
      </c>
      <c r="D44" s="41" t="n"/>
      <c r="E44" s="41" t="n"/>
      <c r="F44" s="94" t="inlineStr">
        <is>
          <t>Temperature parameter for thermal design</t>
        </is>
      </c>
      <c r="G44" s="94" t="inlineStr">
        <is>
          <t>Input parameter: Target delivery temp (°C)</t>
        </is>
      </c>
      <c r="H44" s="94" t="inlineStr">
        <is>
          <t>11. Reference Data!B47 - 57.5; 11. Reference Data!C47 - 57.5; 11. Reference Data!B48 - 50; 11. Reference Data!C48 - 50; 11. Reference Data!B49 - 55; 11. Reference Data!C49 - 55; 11. Reference Data!B50 - 45; 11. Reference Data!C50 - 45</t>
        </is>
      </c>
    </row>
    <row r="45">
      <c r="F45" s="98" t="n"/>
      <c r="G45" s="99" t="n"/>
      <c r="H45" s="99" t="n"/>
    </row>
    <row r="46">
      <c r="A46" s="46" t="inlineStr">
        <is>
          <t>Source Temp (°C)</t>
        </is>
      </c>
      <c r="B46" s="46" t="inlineStr">
        <is>
          <t>Lift (°C)</t>
        </is>
      </c>
      <c r="C46" s="46" t="inlineStr">
        <is>
          <t>Est. COP</t>
        </is>
      </c>
      <c r="D46" s="46" t="inlineStr">
        <is>
          <t>kWe per kWth</t>
        </is>
      </c>
      <c r="E46" s="46" t="inlineStr">
        <is>
          <t>Cooling Method</t>
        </is>
      </c>
      <c r="F46" s="94" t="inlineStr">
        <is>
          <t>Temperature parameter for thermal design</t>
        </is>
      </c>
      <c r="G46" s="94" t="inlineStr">
        <is>
          <t>Text value for Source Temp (°C)</t>
        </is>
      </c>
      <c r="H46" s="94" t="n"/>
    </row>
    <row r="47">
      <c r="A47" s="14" t="n">
        <v>57.5</v>
      </c>
      <c r="B47" s="27">
        <f>B44-A47</f>
        <v/>
      </c>
      <c r="C47" s="27">
        <f>ROUND(B110*(B44+273.15)/B47,1)</f>
        <v/>
      </c>
      <c r="D47" s="27">
        <f>ROUND(1/C47,3)</f>
        <v/>
      </c>
      <c r="E47" s="14" t="inlineStr">
        <is>
          <t>DTC</t>
        </is>
      </c>
      <c r="F47" s="98" t="inlineStr">
        <is>
          <t>Model parameter</t>
        </is>
      </c>
      <c r="G47" s="99" t="inlineStr">
        <is>
          <t>Calculated from upstream values for 57.5</t>
        </is>
      </c>
      <c r="H47" s="99" t="inlineStr">
        <is>
          <t>11. Reference Data!C47 - 57.5</t>
        </is>
      </c>
    </row>
    <row r="48">
      <c r="A48" s="14" t="n">
        <v>50</v>
      </c>
      <c r="B48" s="27">
        <f>B44-A48</f>
        <v/>
      </c>
      <c r="C48" s="27">
        <f>ROUND(B110*(B44+273.15)/B48,1)</f>
        <v/>
      </c>
      <c r="D48" s="27">
        <f>ROUND(1/C48,3)</f>
        <v/>
      </c>
      <c r="E48" s="14" t="inlineStr">
        <is>
          <t>Single-Phase Immersion</t>
        </is>
      </c>
      <c r="F48" s="98" t="inlineStr">
        <is>
          <t>Model parameter</t>
        </is>
      </c>
      <c r="G48" s="99" t="inlineStr">
        <is>
          <t>Calculated from upstream values for 50</t>
        </is>
      </c>
      <c r="H48" s="99" t="inlineStr">
        <is>
          <t>11. Reference Data!C48 - 50</t>
        </is>
      </c>
    </row>
    <row r="49">
      <c r="A49" s="14" t="n">
        <v>55</v>
      </c>
      <c r="B49" s="27">
        <f>B44-A49</f>
        <v/>
      </c>
      <c r="C49" s="27">
        <f>ROUND(B110*(B44+273.15)/B49,1)</f>
        <v/>
      </c>
      <c r="D49" s="27">
        <f>ROUND(1/C49,3)</f>
        <v/>
      </c>
      <c r="E49" s="14" t="inlineStr">
        <is>
          <t>Two-Phase Immersion</t>
        </is>
      </c>
      <c r="F49" s="98" t="inlineStr">
        <is>
          <t>Model parameter</t>
        </is>
      </c>
      <c r="G49" s="99" t="inlineStr">
        <is>
          <t>Calculated from upstream values for 55</t>
        </is>
      </c>
      <c r="H49" s="99" t="inlineStr">
        <is>
          <t>11. Reference Data!C49 - 55</t>
        </is>
      </c>
    </row>
    <row r="50">
      <c r="A50" s="14" t="n">
        <v>45</v>
      </c>
      <c r="B50" s="27">
        <f>B44-A50</f>
        <v/>
      </c>
      <c r="C50" s="27">
        <f>ROUND(B110*(B44+273.15)/B50,1)</f>
        <v/>
      </c>
      <c r="D50" s="27">
        <f>ROUND(1/C50,3)</f>
        <v/>
      </c>
      <c r="E50" s="14" t="inlineStr">
        <is>
          <t>RDHX</t>
        </is>
      </c>
      <c r="F50" s="98" t="inlineStr">
        <is>
          <t>Model parameter</t>
        </is>
      </c>
      <c r="G50" s="99" t="inlineStr">
        <is>
          <t>Calculated from upstream values for 45</t>
        </is>
      </c>
      <c r="H50" s="99" t="inlineStr">
        <is>
          <t>11. Reference Data!C50 - 45</t>
        </is>
      </c>
    </row>
    <row r="51">
      <c r="F51" s="98" t="n"/>
      <c r="G51" s="99" t="n"/>
      <c r="H51" s="99" t="n"/>
    </row>
    <row r="52">
      <c r="F52" s="98" t="n"/>
      <c r="G52" s="99" t="n"/>
      <c r="H52" s="99" t="n"/>
    </row>
    <row r="53">
      <c r="A53" s="15" t="inlineStr">
        <is>
          <t>PROCESS ΔT REFERENCE</t>
        </is>
      </c>
      <c r="B53" s="15" t="n"/>
      <c r="C53" s="15" t="n"/>
      <c r="D53" s="15" t="n"/>
      <c r="E53" s="15" t="n"/>
      <c r="F53" s="97" t="n"/>
      <c r="G53" s="97" t="n"/>
      <c r="H53" s="97" t="n"/>
    </row>
    <row r="54">
      <c r="A54" s="31" t="inlineStr">
        <is>
          <t>Temperature differential by industrial process (affects flow requirements)</t>
        </is>
      </c>
      <c r="F54" s="98" t="inlineStr">
        <is>
          <t>Temperature parameter for thermal design</t>
        </is>
      </c>
      <c r="G54" s="99" t="inlineStr">
        <is>
          <t>Row label only</t>
        </is>
      </c>
      <c r="H54" s="99" t="n"/>
    </row>
    <row r="55">
      <c r="F55" s="98" t="n"/>
      <c r="G55" s="99" t="n"/>
      <c r="H55" s="99" t="n"/>
    </row>
    <row r="56">
      <c r="A56" s="46" t="inlineStr">
        <is>
          <t>Process</t>
        </is>
      </c>
      <c r="B56" s="46" t="inlineStr">
        <is>
          <t>Typical ΔT (°C)</t>
        </is>
      </c>
      <c r="C56" s="46" t="inlineStr">
        <is>
          <t>Constraint Type</t>
        </is>
      </c>
      <c r="D56" s="46" t="inlineStr">
        <is>
          <t>Source</t>
        </is>
      </c>
      <c r="E56" s="41" t="n"/>
      <c r="F56" s="94" t="inlineStr">
        <is>
          <t>Model parameter</t>
        </is>
      </c>
      <c r="G56" s="94" t="inlineStr">
        <is>
          <t>Text value for Process</t>
        </is>
      </c>
      <c r="H56" s="94" t="n"/>
    </row>
    <row r="57">
      <c r="A57" s="47" t="inlineStr">
        <is>
          <t>Pasteurisation</t>
        </is>
      </c>
      <c r="B57" s="27" t="n">
        <v>5</v>
      </c>
      <c r="C57" s="14" t="inlineStr">
        <is>
          <t>Flow-constrained</t>
        </is>
      </c>
      <c r="D57" s="14" t="inlineStr">
        <is>
          <t>Tetra Pak</t>
        </is>
      </c>
      <c r="F57" s="98" t="inlineStr">
        <is>
          <t>Model parameter</t>
        </is>
      </c>
      <c r="G57" s="99" t="inlineStr">
        <is>
          <t>Input parameter: Pasteurisation</t>
        </is>
      </c>
      <c r="H57" s="99" t="n"/>
    </row>
    <row r="58">
      <c r="A58" s="47" t="inlineStr">
        <is>
          <t>Swimming pools</t>
        </is>
      </c>
      <c r="B58" s="27" t="n">
        <v>5</v>
      </c>
      <c r="C58" s="14" t="inlineStr">
        <is>
          <t>Flow-constrained</t>
        </is>
      </c>
      <c r="D58" s="14" t="inlineStr">
        <is>
          <t>Kensa</t>
        </is>
      </c>
      <c r="F58" s="98" t="inlineStr">
        <is>
          <t>Model parameter</t>
        </is>
      </c>
      <c r="G58" s="99" t="inlineStr">
        <is>
          <t>Input parameter: Swimming pools</t>
        </is>
      </c>
      <c r="H58" s="99" t="n"/>
    </row>
    <row r="59">
      <c r="A59" s="47" t="inlineStr">
        <is>
          <t>Building HVAC</t>
        </is>
      </c>
      <c r="B59" s="27" t="n">
        <v>10</v>
      </c>
      <c r="C59" s="14" t="inlineStr">
        <is>
          <t>Balanced</t>
        </is>
      </c>
      <c r="D59" s="14" t="inlineStr">
        <is>
          <t>ASHRAE 90.1</t>
        </is>
      </c>
      <c r="F59" s="98" t="inlineStr">
        <is>
          <t>Model parameter</t>
        </is>
      </c>
      <c r="G59" s="99" t="inlineStr">
        <is>
          <t>Input parameter: Building HVAC</t>
        </is>
      </c>
      <c r="H59" s="99" t="n"/>
    </row>
    <row r="60">
      <c r="A60" s="47" t="inlineStr">
        <is>
          <t>CIP systems</t>
        </is>
      </c>
      <c r="B60" s="27" t="n">
        <v>12</v>
      </c>
      <c r="C60" s="14" t="inlineStr">
        <is>
          <t>Balanced</t>
        </is>
      </c>
      <c r="D60" s="14" t="inlineStr">
        <is>
          <t>CSI Designs</t>
        </is>
      </c>
      <c r="F60" s="98" t="inlineStr">
        <is>
          <t>Model parameter</t>
        </is>
      </c>
      <c r="G60" s="99" t="inlineStr">
        <is>
          <t>Input parameter: CIP systems</t>
        </is>
      </c>
      <c r="H60" s="99" t="n"/>
    </row>
    <row r="61">
      <c r="A61" s="47" t="inlineStr">
        <is>
          <t>Commercial laundry</t>
        </is>
      </c>
      <c r="B61" s="27" t="n">
        <v>18</v>
      </c>
      <c r="C61" s="14" t="inlineStr">
        <is>
          <t>Thermal-constrained</t>
        </is>
      </c>
      <c r="D61" s="14" t="inlineStr">
        <is>
          <t>AERCO</t>
        </is>
      </c>
      <c r="F61" s="98" t="inlineStr">
        <is>
          <t>Model parameter</t>
        </is>
      </c>
      <c r="G61" s="99" t="inlineStr">
        <is>
          <t>Input parameter: Commercial laundry</t>
        </is>
      </c>
      <c r="H61" s="99" t="n"/>
    </row>
    <row r="62">
      <c r="A62" s="47" t="inlineStr">
        <is>
          <t>District heating</t>
        </is>
      </c>
      <c r="B62" s="27" t="n">
        <v>30</v>
      </c>
      <c r="C62" s="14" t="inlineStr">
        <is>
          <t>Thermal-constrained</t>
        </is>
      </c>
      <c r="D62" s="14" t="inlineStr">
        <is>
          <t>CIBSE CP1</t>
        </is>
      </c>
      <c r="F62" s="98" t="inlineStr">
        <is>
          <t>Model parameter</t>
        </is>
      </c>
      <c r="G62" s="99" t="inlineStr">
        <is>
          <t>Input parameter: District heating</t>
        </is>
      </c>
      <c r="H62" s="99" t="n"/>
    </row>
    <row r="63">
      <c r="F63" s="98" t="n"/>
      <c r="G63" s="99" t="n"/>
      <c r="H63" s="99" t="n"/>
    </row>
    <row r="64">
      <c r="F64" s="98" t="n"/>
      <c r="G64" s="99" t="n"/>
      <c r="H64" s="99" t="n"/>
    </row>
    <row r="65">
      <c r="A65" s="15" t="inlineStr">
        <is>
          <t>MODULE HARDWARE CAPEX</t>
        </is>
      </c>
      <c r="B65" s="15" t="n"/>
      <c r="C65" s="15" t="n"/>
      <c r="D65" s="15" t="n"/>
      <c r="E65" s="15" t="n"/>
      <c r="F65" s="97" t="n"/>
      <c r="G65" s="97" t="n"/>
      <c r="H65" s="97" t="n"/>
    </row>
    <row r="66">
      <c r="A66" s="31" t="inlineStr">
        <is>
          <t>Itemised costs for module components - yellow cells are adjustable inputs</t>
        </is>
      </c>
      <c r="F66" s="98" t="inlineStr">
        <is>
          <t>Financial input or calculation</t>
        </is>
      </c>
      <c r="G66" s="99" t="inlineStr">
        <is>
          <t>Row label only</t>
        </is>
      </c>
      <c r="H66" s="99" t="n"/>
    </row>
    <row r="67">
      <c r="F67" s="98" t="n"/>
      <c r="G67" s="99" t="n"/>
      <c r="H67" s="99" t="n"/>
    </row>
    <row r="68">
      <c r="A68" s="41" t="inlineStr">
        <is>
          <t>Component</t>
        </is>
      </c>
      <c r="B68" s="41" t="inlineStr">
        <is>
          <t>Cost (£)</t>
        </is>
      </c>
      <c r="C68" s="41" t="inlineStr">
        <is>
          <t>Unit</t>
        </is>
      </c>
      <c r="D68" s="41" t="inlineStr">
        <is>
          <t>Scaling Basis</t>
        </is>
      </c>
      <c r="E68" s="41" t="inlineStr">
        <is>
          <t>Source</t>
        </is>
      </c>
      <c r="F68" s="94" t="inlineStr">
        <is>
          <t>Model parameter</t>
        </is>
      </c>
      <c r="G68" s="94" t="inlineStr">
        <is>
          <t>Text value for Component</t>
        </is>
      </c>
      <c r="H68" s="94" t="n"/>
    </row>
    <row r="69">
      <c r="F69" s="98" t="n"/>
      <c r="G69" s="99" t="n"/>
      <c r="H69" s="99" t="n"/>
    </row>
    <row r="70">
      <c r="A70" s="41" t="inlineStr">
        <is>
          <t>ENCLOSURE &amp; STRUCTURE</t>
        </is>
      </c>
      <c r="B70" s="41" t="n"/>
      <c r="C70" s="41" t="n"/>
      <c r="D70" s="41" t="n"/>
      <c r="E70" s="41" t="n"/>
      <c r="F70" s="94" t="n"/>
      <c r="G70" s="94" t="inlineStr">
        <is>
          <t>Row label only</t>
        </is>
      </c>
      <c r="H70" s="94" t="n"/>
    </row>
    <row r="71">
      <c r="A71" s="31" t="inlineStr">
        <is>
          <t>Container shell (40ft)</t>
        </is>
      </c>
      <c r="B71" s="28" t="n">
        <v>35000</v>
      </c>
      <c r="C71" t="inlineStr">
        <is>
          <t>per module</t>
        </is>
      </c>
      <c r="D71" t="inlineStr">
        <is>
          <t>Fixed</t>
        </is>
      </c>
      <c r="E71" t="inlineStr">
        <is>
          <t>Industry average</t>
        </is>
      </c>
      <c r="F71" s="98" t="inlineStr">
        <is>
          <t>Reference cost for enclosure</t>
        </is>
      </c>
      <c r="G71" s="99" t="inlineStr">
        <is>
          <t>Input assumption: Container shell (40ft)</t>
        </is>
      </c>
      <c r="H71" s="99" t="inlineStr">
        <is>
          <t>2. Module Capex!B13 - Container shell</t>
        </is>
      </c>
    </row>
    <row r="72">
      <c r="A72" s="31" t="inlineStr">
        <is>
          <t>Container fit-out (electrical, HVAC prep)</t>
        </is>
      </c>
      <c r="B72" s="28" t="n">
        <v>25000</v>
      </c>
      <c r="C72" t="inlineStr">
        <is>
          <t>per module</t>
        </is>
      </c>
      <c r="D72" t="inlineStr">
        <is>
          <t>Fixed</t>
        </is>
      </c>
      <c r="E72" t="inlineStr">
        <is>
          <t>Industry average</t>
        </is>
      </c>
      <c r="F72" s="98" t="inlineStr">
        <is>
          <t>Reference cost for enclosure</t>
        </is>
      </c>
      <c r="G72" s="99" t="inlineStr">
        <is>
          <t>Input assumption: Container fit-out (electrical, HVAC prep)</t>
        </is>
      </c>
      <c r="H72" s="99" t="inlineStr">
        <is>
          <t>2. Module Capex!B14 - Container fit-out</t>
        </is>
      </c>
    </row>
    <row r="73">
      <c r="A73" s="31" t="inlineStr">
        <is>
          <t>Rack enclosure (42U enclosed)</t>
        </is>
      </c>
      <c r="B73" s="28" t="n">
        <v>2000</v>
      </c>
      <c r="C73" t="inlineStr">
        <is>
          <t>per rack</t>
        </is>
      </c>
      <c r="D73" t="inlineStr">
        <is>
          <t>Rack count</t>
        </is>
      </c>
      <c r="E73" t="inlineStr">
        <is>
          <t>CDW/RackSolutions</t>
        </is>
      </c>
      <c r="F73" s="98" t="inlineStr">
        <is>
          <t>Reference cost per rack</t>
        </is>
      </c>
      <c r="G73" s="99" t="inlineStr">
        <is>
          <t>Input assumption: Rack enclosure (42U enclosed)</t>
        </is>
      </c>
      <c r="H73" s="99" t="inlineStr">
        <is>
          <t>2. Module Capex!B15 - Rack enclosures; 2. Module Capex!C15 - Rack enclosures</t>
        </is>
      </c>
    </row>
    <row r="74">
      <c r="F74" s="98" t="n"/>
      <c r="G74" s="99" t="n"/>
      <c r="H74" s="99" t="n"/>
    </row>
    <row r="75">
      <c r="A75" s="41" t="inlineStr">
        <is>
          <t>DTC COOLING COMPONENTS</t>
        </is>
      </c>
      <c r="B75" s="41" t="n"/>
      <c r="C75" s="41" t="n"/>
      <c r="D75" s="41" t="n"/>
      <c r="E75" s="41" t="n"/>
      <c r="F75" s="94" t="n"/>
      <c r="G75" s="94" t="inlineStr">
        <is>
          <t>Row label only</t>
        </is>
      </c>
      <c r="H75" s="94" t="n"/>
    </row>
    <row r="76">
      <c r="A76" s="31" t="inlineStr">
        <is>
          <t>Cold plate kit (per server)</t>
        </is>
      </c>
      <c r="B76" s="28" t="n">
        <v>250</v>
      </c>
      <c r="C76" t="inlineStr">
        <is>
          <t>per server</t>
        </is>
      </c>
      <c r="D76" t="inlineStr">
        <is>
          <t>Server count</t>
        </is>
      </c>
      <c r="E76" t="inlineStr">
        <is>
          <t>CoolIT/Asetek</t>
        </is>
      </c>
      <c r="F76" s="98" t="inlineStr">
        <is>
          <t>Reference cost for DTC equipment</t>
        </is>
      </c>
      <c r="G76" s="99" t="inlineStr">
        <is>
          <t>Input parameter: Cold plate kit (per server)</t>
        </is>
      </c>
      <c r="H76" s="99" t="inlineStr">
        <is>
          <t>2. Module Capex!B19 - Cold plate kits</t>
        </is>
      </c>
    </row>
    <row r="77">
      <c r="A77" s="31" t="inlineStr">
        <is>
          <t>CDU (Coolant Distribution Unit)</t>
        </is>
      </c>
      <c r="B77" s="28" t="n">
        <v>35000</v>
      </c>
      <c r="C77" t="inlineStr">
        <is>
          <t>per module</t>
        </is>
      </c>
      <c r="D77" t="inlineStr">
        <is>
          <t>Fixed base</t>
        </is>
      </c>
      <c r="E77" t="inlineStr">
        <is>
          <t>Vertiv/Schneider</t>
        </is>
      </c>
      <c r="F77" s="98" t="inlineStr">
        <is>
          <t>Reference cost for DTC equipment</t>
        </is>
      </c>
      <c r="G77" s="99" t="inlineStr">
        <is>
          <t>Input assumption: CDU (Coolant Distribution Unit)</t>
        </is>
      </c>
      <c r="H77" s="99" t="inlineStr">
        <is>
          <t>2. Module Capex!B20 - CDU (base)</t>
        </is>
      </c>
    </row>
    <row r="78">
      <c r="A78" s="31" t="inlineStr">
        <is>
          <t>CDU capacity scaling</t>
        </is>
      </c>
      <c r="B78" s="28" t="n">
        <v>80</v>
      </c>
      <c r="C78" t="inlineStr">
        <is>
          <t>per kW</t>
        </is>
      </c>
      <c r="D78" t="inlineStr">
        <is>
          <t>Module IT kW</t>
        </is>
      </c>
      <c r="E78" t="inlineStr">
        <is>
          <t>Industry estimate</t>
        </is>
      </c>
      <c r="F78" s="98" t="inlineStr">
        <is>
          <t>Reference cost for DTC equipment</t>
        </is>
      </c>
      <c r="G78" s="99" t="inlineStr">
        <is>
          <t>Input parameter: CDU capacity scaling</t>
        </is>
      </c>
      <c r="H78" s="99" t="inlineStr">
        <is>
          <t>2. Module Capex!B21 - CDU (capacity scaling)</t>
        </is>
      </c>
    </row>
    <row r="79">
      <c r="A79" s="31" t="inlineStr">
        <is>
          <t>Manifolds &amp; quick-connects</t>
        </is>
      </c>
      <c r="B79" s="28" t="n">
        <v>150</v>
      </c>
      <c r="C79" t="inlineStr">
        <is>
          <t>per server</t>
        </is>
      </c>
      <c r="D79" t="inlineStr">
        <is>
          <t>Server count</t>
        </is>
      </c>
      <c r="E79" t="inlineStr">
        <is>
          <t>Industry estimate</t>
        </is>
      </c>
      <c r="F79" s="98" t="inlineStr">
        <is>
          <t>Reference cost for DTC equipment</t>
        </is>
      </c>
      <c r="G79" s="99" t="inlineStr">
        <is>
          <t>Input parameter: Manifolds &amp; quick-connects</t>
        </is>
      </c>
      <c r="H79" s="99" t="inlineStr">
        <is>
          <t>2. Module Capex!B22 - Manifolds &amp; quick-connects</t>
        </is>
      </c>
    </row>
    <row r="80">
      <c r="A80" s="31" t="inlineStr">
        <is>
          <t>Primary loop piping</t>
        </is>
      </c>
      <c r="B80" s="28" t="n">
        <v>5000</v>
      </c>
      <c r="C80" t="inlineStr">
        <is>
          <t>per module</t>
        </is>
      </c>
      <c r="D80" t="inlineStr">
        <is>
          <t>Fixed</t>
        </is>
      </c>
      <c r="E80" t="inlineStr">
        <is>
          <t>Industry estimate</t>
        </is>
      </c>
      <c r="F80" s="98" t="inlineStr">
        <is>
          <t>Model parameter</t>
        </is>
      </c>
      <c r="G80" s="99" t="inlineStr">
        <is>
          <t>Input assumption: Primary loop piping</t>
        </is>
      </c>
      <c r="H80" s="99" t="inlineStr">
        <is>
          <t>2. Module Capex!B23 - Primary loop piping</t>
        </is>
      </c>
    </row>
    <row r="81">
      <c r="F81" s="98" t="n"/>
      <c r="G81" s="99" t="n"/>
      <c r="H81" s="99" t="n"/>
    </row>
    <row r="82">
      <c r="A82" s="41" t="inlineStr">
        <is>
          <t>IMMERSION COOLING COMPONENTS</t>
        </is>
      </c>
      <c r="B82" s="41" t="n"/>
      <c r="C82" s="41" t="n"/>
      <c r="D82" s="41" t="n"/>
      <c r="E82" s="41" t="n"/>
      <c r="F82" s="94" t="n"/>
      <c r="G82" s="94" t="inlineStr">
        <is>
          <t>Row label only</t>
        </is>
      </c>
      <c r="H82" s="94" t="n"/>
    </row>
    <row r="83">
      <c r="A83" s="31" t="inlineStr">
        <is>
          <t>Single-phase immersion tank</t>
        </is>
      </c>
      <c r="B83" s="28" t="n">
        <v>28000</v>
      </c>
      <c r="C83" t="inlineStr">
        <is>
          <t>per rack</t>
        </is>
      </c>
      <c r="D83" t="inlineStr">
        <is>
          <t>Rack count</t>
        </is>
      </c>
      <c r="E83" t="inlineStr">
        <is>
          <t>GRC/LiquidCool</t>
        </is>
      </c>
      <c r="F83" s="98" t="inlineStr">
        <is>
          <t>Reference cost for immersion equipment</t>
        </is>
      </c>
      <c r="G83" s="99" t="inlineStr">
        <is>
          <t>Input assumption: Single-phase immersion tank</t>
        </is>
      </c>
      <c r="H83" s="99" t="inlineStr">
        <is>
          <t>2. Module Capex!B27 - Immersion tanks</t>
        </is>
      </c>
    </row>
    <row r="84">
      <c r="A84" s="31" t="inlineStr">
        <is>
          <t>Two-phase immersion tank</t>
        </is>
      </c>
      <c r="B84" s="28" t="n">
        <v>45000</v>
      </c>
      <c r="C84" t="inlineStr">
        <is>
          <t>per rack</t>
        </is>
      </c>
      <c r="D84" t="inlineStr">
        <is>
          <t>Rack count</t>
        </is>
      </c>
      <c r="E84" t="inlineStr">
        <is>
          <t>LiquidStack/Asperitas</t>
        </is>
      </c>
      <c r="F84" s="98" t="inlineStr">
        <is>
          <t>Reference cost for immersion equipment</t>
        </is>
      </c>
      <c r="G84" s="99" t="inlineStr">
        <is>
          <t>Input assumption: Two-phase immersion tank</t>
        </is>
      </c>
      <c r="H84" s="99" t="inlineStr">
        <is>
          <t>2. Module Capex!B27 - Immersion tanks</t>
        </is>
      </c>
    </row>
    <row r="85">
      <c r="A85" s="31" t="inlineStr">
        <is>
          <t>Dielectric fluid - single-phase</t>
        </is>
      </c>
      <c r="B85" s="28" t="n">
        <v>12</v>
      </c>
      <c r="C85" t="inlineStr">
        <is>
          <t>per litre</t>
        </is>
      </c>
      <c r="D85" t="inlineStr">
        <is>
          <t>Tank volume</t>
        </is>
      </c>
      <c r="E85" t="inlineStr">
        <is>
          <t>Shell/Cargill</t>
        </is>
      </c>
      <c r="F85" s="98" t="inlineStr">
        <is>
          <t>Reference cost for immersion equipment</t>
        </is>
      </c>
      <c r="G85" s="99" t="inlineStr">
        <is>
          <t>Input parameter: Dielectric fluid - single-phase</t>
        </is>
      </c>
      <c r="H85" s="99" t="inlineStr">
        <is>
          <t>2. Module Capex!B28 - Dielectric fluid (initial fill)</t>
        </is>
      </c>
    </row>
    <row r="86">
      <c r="A86" s="31" t="inlineStr">
        <is>
          <t>Dielectric fluid - two-phase</t>
        </is>
      </c>
      <c r="B86" s="28" t="n">
        <v>120</v>
      </c>
      <c r="C86" t="inlineStr">
        <is>
          <t>per litre</t>
        </is>
      </c>
      <c r="D86" t="inlineStr">
        <is>
          <t>Tank volume</t>
        </is>
      </c>
      <c r="E86" t="inlineStr">
        <is>
          <t>3M Novec</t>
        </is>
      </c>
      <c r="F86" s="98" t="inlineStr">
        <is>
          <t>Reference cost for immersion equipment</t>
        </is>
      </c>
      <c r="G86" s="99" t="inlineStr">
        <is>
          <t>Input parameter: Dielectric fluid - two-phase</t>
        </is>
      </c>
      <c r="H86" s="99" t="inlineStr">
        <is>
          <t>2. Module Capex!B28 - Dielectric fluid (initial fill)</t>
        </is>
      </c>
    </row>
    <row r="87">
      <c r="A87" s="31" t="inlineStr">
        <is>
          <t>Fluid volume per rack (single-phase)</t>
        </is>
      </c>
      <c r="B87" s="25" t="n">
        <v>600</v>
      </c>
      <c r="C87" t="inlineStr">
        <is>
          <t>litres</t>
        </is>
      </c>
      <c r="D87" t="inlineStr">
        <is>
          <t>Per rack</t>
        </is>
      </c>
      <c r="E87" t="inlineStr">
        <is>
          <t>Industry average</t>
        </is>
      </c>
      <c r="F87" s="98" t="inlineStr">
        <is>
          <t>Reference cost per rack</t>
        </is>
      </c>
      <c r="G87" s="99" t="inlineStr">
        <is>
          <t>Input parameter: Fluid volume per rack (single-phase)</t>
        </is>
      </c>
      <c r="H87" s="99" t="inlineStr">
        <is>
          <t>2. Module Capex!B28 - Dielectric fluid (initial fill)</t>
        </is>
      </c>
    </row>
    <row r="88">
      <c r="A88" s="31" t="inlineStr">
        <is>
          <t>Fluid volume per rack (two-phase)</t>
        </is>
      </c>
      <c r="B88" s="25" t="n">
        <v>400</v>
      </c>
      <c r="C88" t="inlineStr">
        <is>
          <t>litres</t>
        </is>
      </c>
      <c r="D88" t="inlineStr">
        <is>
          <t>Per rack</t>
        </is>
      </c>
      <c r="E88" t="inlineStr">
        <is>
          <t>Industry average</t>
        </is>
      </c>
      <c r="F88" s="98" t="inlineStr">
        <is>
          <t>Reference cost per rack</t>
        </is>
      </c>
      <c r="G88" s="99" t="inlineStr">
        <is>
          <t>Input parameter: Fluid volume per rack (two-phase)</t>
        </is>
      </c>
      <c r="H88" s="99" t="inlineStr">
        <is>
          <t>2. Module Capex!B28 - Dielectric fluid (initial fill)</t>
        </is>
      </c>
    </row>
    <row r="89">
      <c r="A89" s="31" t="inlineStr">
        <is>
          <t>Fluid management system</t>
        </is>
      </c>
      <c r="B89" s="28" t="n">
        <v>15000</v>
      </c>
      <c r="C89" t="inlineStr">
        <is>
          <t>per module</t>
        </is>
      </c>
      <c r="D89" t="inlineStr">
        <is>
          <t>Fixed</t>
        </is>
      </c>
      <c r="E89" t="inlineStr">
        <is>
          <t>Industry estimate</t>
        </is>
      </c>
      <c r="F89" s="98" t="inlineStr">
        <is>
          <t>Reference fluid cost or volume</t>
        </is>
      </c>
      <c r="G89" s="99" t="inlineStr">
        <is>
          <t>Input assumption: Fluid management system</t>
        </is>
      </c>
      <c r="H89" s="99" t="inlineStr">
        <is>
          <t>2. Module Capex!B29 - Fluid management system</t>
        </is>
      </c>
    </row>
    <row r="90">
      <c r="F90" s="98" t="n"/>
      <c r="G90" s="99" t="n"/>
      <c r="H90" s="99" t="n"/>
    </row>
    <row r="91">
      <c r="A91" s="41" t="inlineStr">
        <is>
          <t>POWER DISTRIBUTION</t>
        </is>
      </c>
      <c r="B91" s="41" t="n"/>
      <c r="C91" s="41" t="n"/>
      <c r="D91" s="41" t="n"/>
      <c r="E91" s="41" t="n"/>
      <c r="F91" s="94" t="n"/>
      <c r="G91" s="94" t="inlineStr">
        <is>
          <t>Row label only</t>
        </is>
      </c>
      <c r="H91" s="94" t="n"/>
    </row>
    <row r="92">
      <c r="A92" s="31" t="inlineStr">
        <is>
          <t>High-density PDU (per rack)</t>
        </is>
      </c>
      <c r="B92" s="28" t="n">
        <v>3000</v>
      </c>
      <c r="C92" t="inlineStr">
        <is>
          <t>per rack</t>
        </is>
      </c>
      <c r="D92" t="inlineStr">
        <is>
          <t>Rack count</t>
        </is>
      </c>
      <c r="E92" t="inlineStr">
        <is>
          <t>Vertiv/Raritan</t>
        </is>
      </c>
      <c r="F92" s="98" t="inlineStr">
        <is>
          <t>Reference cost per rack</t>
        </is>
      </c>
      <c r="G92" s="99" t="inlineStr">
        <is>
          <t>Input assumption: High-density PDU (per rack)</t>
        </is>
      </c>
      <c r="H92" s="99" t="inlineStr">
        <is>
          <t>2. Module Capex!B33 - Rack PDUs</t>
        </is>
      </c>
    </row>
    <row r="93">
      <c r="A93" s="31" t="inlineStr">
        <is>
          <t>Module power distribution</t>
        </is>
      </c>
      <c r="B93" s="28" t="n">
        <v>180</v>
      </c>
      <c r="C93" t="inlineStr">
        <is>
          <t>per kW</t>
        </is>
      </c>
      <c r="D93" t="inlineStr">
        <is>
          <t>Module IT kW</t>
        </is>
      </c>
      <c r="E93" t="inlineStr">
        <is>
          <t>Schneider Electric</t>
        </is>
      </c>
      <c r="F93" s="98" t="inlineStr">
        <is>
          <t>Reference cost for electrical equipment</t>
        </is>
      </c>
      <c r="G93" s="99" t="inlineStr">
        <is>
          <t>Input parameter: Module power distribution</t>
        </is>
      </c>
      <c r="H93" s="99" t="inlineStr">
        <is>
          <t>2. Module Capex!B34 - Module power distribution</t>
        </is>
      </c>
    </row>
    <row r="94">
      <c r="A94" s="31" t="inlineStr">
        <is>
          <t>Electrical panels &amp; switchgear</t>
        </is>
      </c>
      <c r="B94" s="28" t="n">
        <v>20000</v>
      </c>
      <c r="C94" t="inlineStr">
        <is>
          <t>per module</t>
        </is>
      </c>
      <c r="D94" t="inlineStr">
        <is>
          <t>Fixed</t>
        </is>
      </c>
      <c r="E94" t="inlineStr">
        <is>
          <t>Industry estimate</t>
        </is>
      </c>
      <c r="F94" s="98" t="inlineStr">
        <is>
          <t>Reference cost for electrical equipment</t>
        </is>
      </c>
      <c r="G94" s="99" t="inlineStr">
        <is>
          <t>Input assumption: Electrical panels &amp; switchgear</t>
        </is>
      </c>
      <c r="H94" s="99" t="inlineStr">
        <is>
          <t>2. Module Capex!B35 - Electrical panels &amp; switchgear</t>
        </is>
      </c>
    </row>
    <row r="95">
      <c r="F95" s="98" t="n"/>
      <c r="G95" s="99" t="n"/>
      <c r="H95" s="99" t="n"/>
    </row>
    <row r="96">
      <c r="A96" s="41" t="inlineStr">
        <is>
          <t>THERMAL INTEGRATION</t>
        </is>
      </c>
      <c r="B96" s="41" t="n"/>
      <c r="C96" s="41" t="n"/>
      <c r="D96" s="41" t="n"/>
      <c r="E96" s="41" t="n"/>
      <c r="F96" s="94" t="n"/>
      <c r="G96" s="94" t="inlineStr">
        <is>
          <t>Row label only</t>
        </is>
      </c>
      <c r="H96" s="94" t="n"/>
    </row>
    <row r="97">
      <c r="A97" s="31" t="inlineStr">
        <is>
          <t>Primary heat exchanger</t>
        </is>
      </c>
      <c r="B97" s="28" t="n">
        <v>12000</v>
      </c>
      <c r="C97" t="inlineStr">
        <is>
          <t>per module</t>
        </is>
      </c>
      <c r="D97" t="inlineStr">
        <is>
          <t>Fixed base</t>
        </is>
      </c>
      <c r="E97" t="inlineStr">
        <is>
          <t>Alfa Laval/SWEP</t>
        </is>
      </c>
      <c r="F97" s="98" t="inlineStr">
        <is>
          <t>Reference cost for thermal equipment</t>
        </is>
      </c>
      <c r="G97" s="99" t="inlineStr">
        <is>
          <t>Input assumption: Primary heat exchanger</t>
        </is>
      </c>
      <c r="H97" s="99" t="inlineStr">
        <is>
          <t>2. Module Capex!B39 - Primary heat exchanger (base)</t>
        </is>
      </c>
    </row>
    <row r="98">
      <c r="A98" s="31" t="inlineStr">
        <is>
          <t>Heat exchanger scaling</t>
        </is>
      </c>
      <c r="B98" s="28" t="n">
        <v>25</v>
      </c>
      <c r="C98" t="inlineStr">
        <is>
          <t>per kW</t>
        </is>
      </c>
      <c r="D98" t="inlineStr">
        <is>
          <t>Module thermal kW</t>
        </is>
      </c>
      <c r="E98" t="inlineStr">
        <is>
          <t>Industry estimate</t>
        </is>
      </c>
      <c r="F98" s="98" t="inlineStr">
        <is>
          <t>Reference cost for thermal equipment</t>
        </is>
      </c>
      <c r="G98" s="99" t="inlineStr">
        <is>
          <t>Input parameter: Heat exchanger scaling</t>
        </is>
      </c>
      <c r="H98" s="99" t="inlineStr">
        <is>
          <t>2. Module Capex!B40 - Heat exchanger (capacity scaling)</t>
        </is>
      </c>
    </row>
    <row r="99">
      <c r="A99" s="31" t="inlineStr">
        <is>
          <t>Thermal integration skid (pumps, valves)</t>
        </is>
      </c>
      <c r="B99" s="28" t="n">
        <v>18000</v>
      </c>
      <c r="C99" t="inlineStr">
        <is>
          <t>per module</t>
        </is>
      </c>
      <c r="D99" t="inlineStr">
        <is>
          <t>Fixed</t>
        </is>
      </c>
      <c r="E99" t="inlineStr">
        <is>
          <t>Industry estimate</t>
        </is>
      </c>
      <c r="F99" s="98" t="inlineStr">
        <is>
          <t>Reference cost for thermal equipment</t>
        </is>
      </c>
      <c r="G99" s="99" t="inlineStr">
        <is>
          <t>Input assumption: Thermal integration skid (pumps, valves)</t>
        </is>
      </c>
      <c r="H99" s="99" t="inlineStr">
        <is>
          <t>2. Module Capex!B41 - Thermal integration skid</t>
        </is>
      </c>
    </row>
    <row r="100">
      <c r="A100" s="31" t="inlineStr">
        <is>
          <t>Instrumentation &amp; sensors</t>
        </is>
      </c>
      <c r="B100" s="28" t="n">
        <v>8000</v>
      </c>
      <c r="C100" t="inlineStr">
        <is>
          <t>per module</t>
        </is>
      </c>
      <c r="D100" t="inlineStr">
        <is>
          <t>Fixed</t>
        </is>
      </c>
      <c r="E100" t="inlineStr">
        <is>
          <t>Industry estimate</t>
        </is>
      </c>
      <c r="F100" s="98" t="inlineStr">
        <is>
          <t>Reference cost for monitoring equipment</t>
        </is>
      </c>
      <c r="G100" s="99" t="inlineStr">
        <is>
          <t>Input assumption: Instrumentation &amp; sensors</t>
        </is>
      </c>
      <c r="H100" s="99" t="inlineStr">
        <is>
          <t>2. Module Capex!B42 - Instrumentation &amp; sensors</t>
        </is>
      </c>
    </row>
    <row r="101">
      <c r="F101" s="98" t="n"/>
      <c r="G101" s="99" t="n"/>
      <c r="H101" s="99" t="n"/>
    </row>
    <row r="102">
      <c r="A102" s="41" t="inlineStr">
        <is>
          <t>MONITORING &amp; CONTROLS</t>
        </is>
      </c>
      <c r="B102" s="41" t="n"/>
      <c r="C102" s="41" t="n"/>
      <c r="D102" s="41" t="n"/>
      <c r="E102" s="41" t="n"/>
      <c r="F102" s="94" t="n"/>
      <c r="G102" s="94" t="inlineStr">
        <is>
          <t>Row label only</t>
        </is>
      </c>
      <c r="H102" s="94" t="n"/>
    </row>
    <row r="103">
      <c r="A103" s="31" t="inlineStr">
        <is>
          <t>BMS base system</t>
        </is>
      </c>
      <c r="B103" s="28" t="n">
        <v>18000</v>
      </c>
      <c r="C103" t="inlineStr">
        <is>
          <t>per module</t>
        </is>
      </c>
      <c r="D103" t="inlineStr">
        <is>
          <t>Fixed</t>
        </is>
      </c>
      <c r="E103" t="inlineStr">
        <is>
          <t>Schneider/Honeywell</t>
        </is>
      </c>
      <c r="F103" s="98" t="inlineStr">
        <is>
          <t>Reference cost for monitoring equipment</t>
        </is>
      </c>
      <c r="G103" s="99" t="inlineStr">
        <is>
          <t>Input assumption: BMS base system</t>
        </is>
      </c>
      <c r="H103" s="99" t="inlineStr">
        <is>
          <t>2. Module Capex!B46 - BMS base system</t>
        </is>
      </c>
    </row>
    <row r="104">
      <c r="A104" s="31" t="inlineStr">
        <is>
          <t>Per-rack monitoring</t>
        </is>
      </c>
      <c r="B104" s="28" t="n">
        <v>500</v>
      </c>
      <c r="C104" t="inlineStr">
        <is>
          <t>per rack</t>
        </is>
      </c>
      <c r="D104" t="inlineStr">
        <is>
          <t>Rack count</t>
        </is>
      </c>
      <c r="E104" t="inlineStr">
        <is>
          <t>Industry estimate</t>
        </is>
      </c>
      <c r="F104" s="98" t="inlineStr">
        <is>
          <t>Reference cost per rack</t>
        </is>
      </c>
      <c r="G104" s="99" t="inlineStr">
        <is>
          <t>Input parameter: Per-rack monitoring</t>
        </is>
      </c>
      <c r="H104" s="99" t="inlineStr">
        <is>
          <t>2. Module Capex!B47 - Per-rack monitoring</t>
        </is>
      </c>
    </row>
    <row r="105">
      <c r="A105" s="31" t="inlineStr">
        <is>
          <t>Network infrastructure</t>
        </is>
      </c>
      <c r="B105" s="28" t="n">
        <v>8000</v>
      </c>
      <c r="C105" t="inlineStr">
        <is>
          <t>per module</t>
        </is>
      </c>
      <c r="D105" t="inlineStr">
        <is>
          <t>Fixed</t>
        </is>
      </c>
      <c r="E105" t="inlineStr">
        <is>
          <t>Industry estimate</t>
        </is>
      </c>
      <c r="F105" s="98" t="inlineStr">
        <is>
          <t>Reference cost for network equipment</t>
        </is>
      </c>
      <c r="G105" s="99" t="inlineStr">
        <is>
          <t>Input assumption: Network infrastructure</t>
        </is>
      </c>
      <c r="H105" s="99" t="inlineStr">
        <is>
          <t>2. Module Capex!B48 - Network infrastructure</t>
        </is>
      </c>
    </row>
    <row r="106">
      <c r="F106" s="98" t="n"/>
      <c r="G106" s="99" t="n"/>
      <c r="H106" s="99" t="n"/>
    </row>
    <row r="107">
      <c r="F107" s="98" t="n"/>
      <c r="G107" s="99" t="n"/>
      <c r="H107" s="99" t="n"/>
    </row>
    <row r="108">
      <c r="A108" s="55" t="inlineStr">
        <is>
          <t>HEAT PUMP EFFICIENCY MODEL</t>
        </is>
      </c>
      <c r="B108" s="55" t="n"/>
      <c r="C108" s="55" t="n"/>
      <c r="D108" s="55" t="n"/>
      <c r="E108" s="55" t="n"/>
      <c r="F108" s="97" t="n"/>
      <c r="G108" s="97" t="n"/>
      <c r="H108" s="97" t="n"/>
    </row>
    <row r="109">
      <c r="A109" t="inlineStr">
        <is>
          <t>Carnot-based COP model with configurable efficiency factor</t>
        </is>
      </c>
      <c r="F109" s="98" t="inlineStr">
        <is>
          <t>Reference heat pump efficiency parameters</t>
        </is>
      </c>
      <c r="G109" s="99" t="inlineStr">
        <is>
          <t>Row label only</t>
        </is>
      </c>
      <c r="H109" s="99" t="n"/>
    </row>
    <row r="110">
      <c r="A110" t="inlineStr">
        <is>
          <t>Carnot efficiency factor (η)</t>
        </is>
      </c>
      <c r="B110" s="56" t="n">
        <v>0.45</v>
      </c>
      <c r="C110" t="inlineStr">
        <is>
          <t>Conservative default (range: 0.40-0.55 per NREL)</t>
        </is>
      </c>
      <c r="F110" s="98" t="inlineStr">
        <is>
          <t>Reference heat pump efficiency parameters</t>
        </is>
      </c>
      <c r="G110" s="99" t="inlineStr">
        <is>
          <t>Input parameter: Carnot efficiency factor (η)</t>
        </is>
      </c>
      <c r="H110" s="99" t="inlineStr">
        <is>
          <t>0. Rack Profile!B52 - Estimated COP at recommended output; 0. Rack Profile!B61 - COP at this lift; 1. Module Criteria!B17 - Heat pump COP; 11. Reference Data!C47 - 57.5; 11. Reference Data!C48 - 50; 11. Reference Data!C49 - 55; 11. Reference Data!C50 - 45</t>
        </is>
      </c>
    </row>
    <row r="111">
      <c r="A111" t="inlineStr">
        <is>
          <t>Minimum practical COP</t>
        </is>
      </c>
      <c r="B111" s="56" t="n">
        <v>2</v>
      </c>
      <c r="C111" t="inlineStr">
        <is>
          <t>Floor to prevent unrealistic values</t>
        </is>
      </c>
      <c r="F111" s="98" t="inlineStr">
        <is>
          <t>Reference heat pump efficiency parameters</t>
        </is>
      </c>
      <c r="G111" s="99" t="inlineStr">
        <is>
          <t>Input parameter: Minimum practical COP</t>
        </is>
      </c>
      <c r="H111" s="99" t="inlineStr">
        <is>
          <t>0. Rack Profile!B52 - Estimated COP at recommended output; 0. Rack Profile!B61 - COP at this lift; 1. Module Criteria!B17 - Heat pump COP</t>
        </is>
      </c>
    </row>
    <row r="112">
      <c r="A112" t="inlineStr">
        <is>
          <t>Maximum practical COP</t>
        </is>
      </c>
      <c r="B112" s="56" t="n">
        <v>8</v>
      </c>
      <c r="C112" t="inlineStr">
        <is>
          <t>Ceiling to prevent unrealistic values</t>
        </is>
      </c>
      <c r="F112" s="98" t="inlineStr">
        <is>
          <t>Reference heat pump efficiency parameters</t>
        </is>
      </c>
      <c r="G112" s="99" t="inlineStr">
        <is>
          <t>Input parameter: Maximum practical COP</t>
        </is>
      </c>
      <c r="H112" s="99" t="inlineStr">
        <is>
          <t>0. Rack Profile!B52 - Estimated COP at recommended output; 0. Rack Profile!B61 - COP at this lift; 1. Module Criteria!B17 - Heat pump COP</t>
        </is>
      </c>
    </row>
    <row r="113">
      <c r="F113" s="98" t="n"/>
      <c r="G113" s="99" t="n"/>
      <c r="H113" s="99" t="n"/>
    </row>
    <row r="114">
      <c r="A114" t="inlineStr">
        <is>
          <t>Formula: COP = η × T_hot(K) / (T_hot - T_cold)</t>
        </is>
      </c>
      <c r="F114" s="98" t="inlineStr">
        <is>
          <t>Reference heat pump efficiency parameters</t>
        </is>
      </c>
      <c r="G114" s="99" t="inlineStr">
        <is>
          <t>Row label only</t>
        </is>
      </c>
      <c r="H114" s="99" t="n"/>
    </row>
    <row r="115">
      <c r="A115" t="inlineStr">
        <is>
          <t>Where T in Kelvin = T in °C + 273.15</t>
        </is>
      </c>
      <c r="F115" s="98" t="inlineStr">
        <is>
          <t>Model parameter</t>
        </is>
      </c>
      <c r="G115" s="99" t="inlineStr">
        <is>
          <t>Row label only</t>
        </is>
      </c>
      <c r="H115" s="99" t="n"/>
    </row>
    <row r="116">
      <c r="F116" s="98" t="n"/>
      <c r="G116" s="99" t="n"/>
      <c r="H116" s="99" t="n"/>
    </row>
    <row r="117">
      <c r="A117" s="74" t="inlineStr">
        <is>
          <t>HYDRAULIC AUGMENTATION RATES</t>
        </is>
      </c>
      <c r="B117" s="74" t="n"/>
      <c r="C117" s="74" t="n"/>
      <c r="D117" s="74" t="n"/>
      <c r="E117" s="74" t="n"/>
      <c r="F117" s="97" t="n"/>
      <c r="G117" s="97" t="n"/>
      <c r="H117" s="97" t="n"/>
    </row>
    <row r="118">
      <c r="A118" t="inlineStr">
        <is>
          <t>For flow deficit handling when buyer flow &gt; module flow</t>
        </is>
      </c>
      <c r="F118" s="98" t="inlineStr">
        <is>
          <t>Fluid flow parameter for hydraulic design</t>
        </is>
      </c>
      <c r="G118" s="99" t="inlineStr">
        <is>
          <t>Row label only</t>
        </is>
      </c>
      <c r="H118" s="99" t="n"/>
    </row>
    <row r="119">
      <c r="F119" s="98" t="n"/>
      <c r="G119" s="99" t="n"/>
      <c r="H119" s="99" t="n"/>
    </row>
    <row r="120">
      <c r="A120" t="inlineStr">
        <is>
          <t>Augmentation pump capex (£ per m³/hr)</t>
        </is>
      </c>
      <c r="B120" s="59" t="n">
        <v>150</v>
      </c>
      <c r="C120" t="inlineStr">
        <is>
          <t>Centrifugal pump sized for flow deficit</t>
        </is>
      </c>
      <c r="F120" s="98" t="inlineStr">
        <is>
          <t>Reference pump specifications or cost</t>
        </is>
      </c>
      <c r="G120" s="99" t="inlineStr">
        <is>
          <t>Input parameter: Augmentation pump capex (£ per m³/hr)</t>
        </is>
      </c>
      <c r="H120" s="99" t="inlineStr">
        <is>
          <t>6. System Capex!B37 - Augmentation pump capex</t>
        </is>
      </c>
    </row>
    <row r="121">
      <c r="A121" t="inlineStr">
        <is>
          <t>Augmentation pump power (kW per m³/hr)</t>
        </is>
      </c>
      <c r="B121" s="59" t="n">
        <v>0.1</v>
      </c>
      <c r="C121" t="inlineStr">
        <is>
          <t>At ~25m head typical for HVAC systems</t>
        </is>
      </c>
      <c r="F121" s="98" t="inlineStr">
        <is>
          <t>Reference cost for electrical equipment</t>
        </is>
      </c>
      <c r="G121" s="99" t="inlineStr">
        <is>
          <t>Input parameter: Augmentation pump power (kW per m³/hr)</t>
        </is>
      </c>
      <c r="H121" s="99" t="inlineStr">
        <is>
          <t>5. Buyer Profile!B83 - Augmentation pump power (kW)</t>
        </is>
      </c>
    </row>
    <row r="122">
      <c r="A122" t="inlineStr">
        <is>
          <t>Mixing valve + controls (£)</t>
        </is>
      </c>
      <c r="B122" s="59" t="n">
        <v>2500</v>
      </c>
      <c r="C122" t="inlineStr">
        <is>
          <t>3-way valve with actuator and controller</t>
        </is>
      </c>
      <c r="F122" s="98" t="inlineStr">
        <is>
          <t>Reference hydraulic equipment cost</t>
        </is>
      </c>
      <c r="G122" s="99" t="inlineStr">
        <is>
          <t>Input assumption: Mixing valve + controls (£)</t>
        </is>
      </c>
      <c r="H122" s="99" t="inlineStr">
        <is>
          <t>6. System Capex!B38 - Mixing valve + controls</t>
        </is>
      </c>
    </row>
    <row r="123">
      <c r="A123" t="inlineStr">
        <is>
          <t>Pipe upsizing allowance (£ per m³/hr)</t>
        </is>
      </c>
      <c r="B123" s="59" t="n">
        <v>50</v>
      </c>
      <c r="C123" t="inlineStr">
        <is>
          <t>Applied when flow deficit &gt; 20 m³/hr</t>
        </is>
      </c>
      <c r="F123" s="98" t="inlineStr">
        <is>
          <t>Reference hydraulic equipment cost</t>
        </is>
      </c>
      <c r="G123" s="99" t="inlineStr">
        <is>
          <t>Input parameter: Pipe upsizing allowance (£ per m³/hr)</t>
        </is>
      </c>
      <c r="H123" s="99" t="inlineStr">
        <is>
          <t>6. System Capex!B39 - Pipe upsizing allowance</t>
        </is>
      </c>
    </row>
    <row r="124">
      <c r="A124" t="inlineStr">
        <is>
          <t>Standard augmentation pump capacity (m³/hr)</t>
        </is>
      </c>
      <c r="B124" s="59" t="n">
        <v>25</v>
      </c>
      <c r="C124" t="inlineStr">
        <is>
          <t>Typical centrifugal pump rating for HVAC</t>
        </is>
      </c>
      <c r="F124" s="98" t="inlineStr">
        <is>
          <t>Reference pump specifications or cost</t>
        </is>
      </c>
      <c r="G124" s="99" t="inlineStr">
        <is>
          <t>Input parameter: Standard augmentation pump capacity (m³/hr)</t>
        </is>
      </c>
      <c r="H124" s="99" t="inlineStr">
        <is>
          <t>5. Buyer Profile!B84 - Augmentation pumps required; 5. Buyer Profile!B85 - Augmentation pump capacity (m³/hr); 6. System Capex!B37 - Augmentation pump capex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10" defaultColWidth="8.83203125" defaultRowHeight="15"/>
  <cols>
    <col width="22" customWidth="1" min="1" max="1"/>
    <col width="10" customWidth="1" min="2" max="2"/>
    <col width="12" customWidth="1" min="3" max="3"/>
    <col width="14" customWidth="1" min="4" max="4"/>
    <col width="10" customWidth="1" min="5" max="5"/>
    <col width="32" customWidth="1" min="6" max="6"/>
    <col width="30" customWidth="1" min="7" max="7"/>
    <col width="32" customWidth="1" min="8" max="8"/>
    <col width="10" customWidth="1" min="9" max="9"/>
    <col width="60" customWidth="1" min="10" max="10"/>
  </cols>
  <sheetData>
    <row r="1">
      <c r="A1" s="15" t="inlineStr">
        <is>
          <t>PROCESS LIBRARY</t>
        </is>
      </c>
      <c r="B1" s="15" t="n"/>
      <c r="C1" s="15" t="n"/>
      <c r="D1" s="15" t="n"/>
      <c r="E1" s="15" t="n"/>
      <c r="F1" s="17" t="n"/>
      <c r="G1" s="17" t="n"/>
      <c r="H1" s="17" t="n"/>
      <c r="I1" s="17" t="n"/>
      <c r="J1" s="17" t="n"/>
    </row>
    <row r="2">
      <c r="A2" s="41" t="inlineStr">
        <is>
          <t>Reference data for industrial heat demand profiles</t>
        </is>
      </c>
      <c r="B2" s="50" t="n"/>
      <c r="C2" s="50" t="n"/>
      <c r="D2" s="50" t="n"/>
      <c r="E2" s="50" t="n"/>
    </row>
    <row r="3">
      <c r="A3" s="41" t="inlineStr">
        <is>
          <t>Process</t>
        </is>
      </c>
      <c r="B3" s="41" t="inlineStr">
        <is>
          <t>Size</t>
        </is>
      </c>
      <c r="C3" s="41" t="inlineStr">
        <is>
          <t>Temp (°C)</t>
        </is>
      </c>
      <c r="D3" s="41" t="inlineStr">
        <is>
          <t>Load (kWth)</t>
        </is>
      </c>
      <c r="E3" s="41" t="inlineStr">
        <is>
          <t>Hrs/yr</t>
        </is>
      </c>
      <c r="F3" s="4" t="inlineStr">
        <is>
          <t>Notes</t>
        </is>
      </c>
      <c r="G3" s="4" t="inlineStr">
        <is>
          <t>Dropdown Name</t>
        </is>
      </c>
      <c r="H3" s="5" t="inlineStr">
        <is>
          <t>Source</t>
        </is>
      </c>
      <c r="I3" s="4" t="inlineStr">
        <is>
          <t>ΔT (°C)</t>
        </is>
      </c>
      <c r="J3" s="4" t="inlineStr">
        <is>
          <t>Source URL</t>
        </is>
      </c>
    </row>
    <row r="4">
      <c r="A4" s="41" t="inlineStr">
        <is>
          <t>Pasteurisation</t>
        </is>
      </c>
      <c r="B4" s="41" t="inlineStr">
        <is>
          <t>Small</t>
        </is>
      </c>
      <c r="C4" s="48" t="n">
        <v>72</v>
      </c>
      <c r="D4" s="48" t="n">
        <v>65</v>
      </c>
      <c r="E4" s="48" t="n">
        <v>4000</v>
      </c>
      <c r="F4" s="4" t="inlineStr">
        <is>
          <t>Craft dairy/microbrewery (5,000 L/day)</t>
        </is>
      </c>
      <c r="G4" s="4" t="inlineStr">
        <is>
          <t>Pasteurisation - Small</t>
        </is>
      </c>
      <c r="H4" t="inlineStr">
        <is>
          <t>Tetra Pak Dairy Processing Handbook</t>
        </is>
      </c>
      <c r="I4" t="n">
        <v>5</v>
      </c>
      <c r="J4" t="inlineStr">
        <is>
          <t>https://dairyprocessinghandbook.tetrapak.com/chapter/heat-exchangers</t>
        </is>
      </c>
    </row>
    <row r="5">
      <c r="A5" s="31" t="inlineStr">
        <is>
          <t>Pasteurisation</t>
        </is>
      </c>
      <c r="B5" t="inlineStr">
        <is>
          <t>Medium</t>
        </is>
      </c>
      <c r="C5" s="27" t="n">
        <v>72</v>
      </c>
      <c r="D5" s="27" t="n">
        <v>500</v>
      </c>
      <c r="E5" s="27" t="n">
        <v>5500</v>
      </c>
      <c r="F5" t="inlineStr">
        <is>
          <t>Regional dairy (50,000 L/day)</t>
        </is>
      </c>
      <c r="G5" t="inlineStr">
        <is>
          <t>Pasteurisation - Medium</t>
        </is>
      </c>
      <c r="H5" t="inlineStr">
        <is>
          <t>Tetra Pak Dairy Processing Handbook</t>
        </is>
      </c>
      <c r="I5" t="n">
        <v>5</v>
      </c>
      <c r="J5" t="inlineStr">
        <is>
          <t>https://dairyprocessinghandbook.tetrapak.com/chapter/heat-exchangers</t>
        </is>
      </c>
    </row>
    <row r="6">
      <c r="A6" s="31" t="inlineStr">
        <is>
          <t>Pasteurisation</t>
        </is>
      </c>
      <c r="B6" t="inlineStr">
        <is>
          <t>Large</t>
        </is>
      </c>
      <c r="C6" s="27" t="n">
        <v>72</v>
      </c>
      <c r="D6" s="27" t="n">
        <v>2500</v>
      </c>
      <c r="E6" s="27" t="n">
        <v>7000</v>
      </c>
      <c r="F6" t="inlineStr">
        <is>
          <t>Industrial dairy (250,000+ L/day)</t>
        </is>
      </c>
      <c r="G6" t="inlineStr">
        <is>
          <t>Pasteurisation - Large</t>
        </is>
      </c>
      <c r="H6" t="inlineStr">
        <is>
          <t>Tetra Pak Dairy Processing Handbook</t>
        </is>
      </c>
      <c r="I6" t="n">
        <v>5</v>
      </c>
      <c r="J6" t="inlineStr">
        <is>
          <t>https://dairyprocessinghandbook.tetrapak.com/chapter/heat-exchangers</t>
        </is>
      </c>
    </row>
    <row r="7">
      <c r="A7" s="31" t="inlineStr">
        <is>
          <t>CIP (Clean-in-Place)</t>
        </is>
      </c>
      <c r="B7" t="inlineStr">
        <is>
          <t>Small</t>
        </is>
      </c>
      <c r="C7" s="27" t="n">
        <v>85</v>
      </c>
      <c r="D7" s="27" t="n">
        <v>50</v>
      </c>
      <c r="E7" s="27" t="n">
        <v>3000</v>
      </c>
      <c r="F7" t="inlineStr">
        <is>
          <t>Single vessel/tank system</t>
        </is>
      </c>
      <c r="G7" t="inlineStr">
        <is>
          <t>CIP (Clean-in-Place) - Small</t>
        </is>
      </c>
      <c r="H7" t="inlineStr">
        <is>
          <t>CSI Designs - Heat Exchangers in CIP</t>
        </is>
      </c>
      <c r="I7" t="n">
        <v>12</v>
      </c>
      <c r="J7" t="inlineStr">
        <is>
          <t>https://www.csidesigns.com/blog/articles/how-heat-exchangers-work-during-clean-in-place</t>
        </is>
      </c>
    </row>
    <row r="8">
      <c r="A8" s="31" t="inlineStr">
        <is>
          <t>CIP (Clean-in-Place)</t>
        </is>
      </c>
      <c r="B8" t="inlineStr">
        <is>
          <t>Medium</t>
        </is>
      </c>
      <c r="C8" s="27" t="n">
        <v>85</v>
      </c>
      <c r="D8" s="27" t="n">
        <v>150</v>
      </c>
      <c r="E8" s="27" t="n">
        <v>4000</v>
      </c>
      <c r="F8" t="inlineStr">
        <is>
          <t>Multi-tank dairy/brewery</t>
        </is>
      </c>
      <c r="G8" t="inlineStr">
        <is>
          <t>CIP (Clean-in-Place) - Medium</t>
        </is>
      </c>
      <c r="H8" t="inlineStr">
        <is>
          <t>CSI Designs - Heat Exchangers in CIP</t>
        </is>
      </c>
      <c r="I8" t="n">
        <v>12</v>
      </c>
      <c r="J8" t="inlineStr">
        <is>
          <t>https://www.csidesigns.com/blog/articles/how-heat-exchangers-work-during-clean-in-place</t>
        </is>
      </c>
    </row>
    <row r="9">
      <c r="A9" s="31" t="inlineStr">
        <is>
          <t>CIP (Clean-in-Place)</t>
        </is>
      </c>
      <c r="B9" t="inlineStr">
        <is>
          <t>Large</t>
        </is>
      </c>
      <c r="C9" s="27" t="n">
        <v>85</v>
      </c>
      <c r="D9" s="27" t="n">
        <v>400</v>
      </c>
      <c r="E9" s="27" t="n">
        <v>5000</v>
      </c>
      <c r="F9" t="inlineStr">
        <is>
          <t>Full processing plant</t>
        </is>
      </c>
      <c r="G9" t="inlineStr">
        <is>
          <t>CIP (Clean-in-Place) - Large</t>
        </is>
      </c>
      <c r="H9" t="inlineStr">
        <is>
          <t>CSI Designs - Heat Exchangers in CIP</t>
        </is>
      </c>
      <c r="I9" t="n">
        <v>12</v>
      </c>
      <c r="J9" t="inlineStr">
        <is>
          <t>https://www.csidesigns.com/blog/articles/how-heat-exchangers-work-during-clean-in-place</t>
        </is>
      </c>
    </row>
    <row r="10">
      <c r="A10" s="31" t="inlineStr">
        <is>
          <t>Bottle washing</t>
        </is>
      </c>
      <c r="B10" t="inlineStr">
        <is>
          <t>Small</t>
        </is>
      </c>
      <c r="C10" s="27" t="n">
        <v>80</v>
      </c>
      <c r="D10" s="27" t="n">
        <v>35</v>
      </c>
      <c r="E10" s="27" t="n">
        <v>4000</v>
      </c>
      <c r="F10" t="inlineStr">
        <is>
          <t>Craft bottling line</t>
        </is>
      </c>
      <c r="G10" t="inlineStr">
        <is>
          <t>Bottle washing - Small</t>
        </is>
      </c>
      <c r="H10" t="inlineStr">
        <is>
          <t>GEA Brewing Systems</t>
        </is>
      </c>
      <c r="I10" t="n">
        <v>10</v>
      </c>
      <c r="J10" t="inlineStr">
        <is>
          <t>https://www.gea.com/en/products/brewery-systems</t>
        </is>
      </c>
    </row>
    <row r="11">
      <c r="A11" s="31" t="inlineStr">
        <is>
          <t>Bottle washing</t>
        </is>
      </c>
      <c r="B11" t="inlineStr">
        <is>
          <t>Medium</t>
        </is>
      </c>
      <c r="C11" s="27" t="n">
        <v>80</v>
      </c>
      <c r="D11" s="27" t="n">
        <v>120</v>
      </c>
      <c r="E11" s="27" t="n">
        <v>5500</v>
      </c>
      <c r="F11" t="inlineStr">
        <is>
          <t>Regional bottler (10k bottles/hr)</t>
        </is>
      </c>
      <c r="G11" t="inlineStr">
        <is>
          <t>Bottle washing - Medium</t>
        </is>
      </c>
      <c r="H11" t="inlineStr">
        <is>
          <t>GEA Brewing Systems</t>
        </is>
      </c>
      <c r="I11" t="n">
        <v>10</v>
      </c>
      <c r="J11" t="inlineStr">
        <is>
          <t>https://www.gea.com/en/products/brewery-systems</t>
        </is>
      </c>
    </row>
    <row r="12">
      <c r="A12" s="31" t="inlineStr">
        <is>
          <t>Bottle washing</t>
        </is>
      </c>
      <c r="B12" t="inlineStr">
        <is>
          <t>Large</t>
        </is>
      </c>
      <c r="C12" s="27" t="n">
        <v>80</v>
      </c>
      <c r="D12" s="27" t="n">
        <v>280</v>
      </c>
      <c r="E12" s="27" t="n">
        <v>7000</v>
      </c>
      <c r="F12" t="inlineStr">
        <is>
          <t>Industrial (50k+ bottles/hr)</t>
        </is>
      </c>
      <c r="G12" t="inlineStr">
        <is>
          <t>Bottle washing - Large</t>
        </is>
      </c>
      <c r="H12" t="inlineStr">
        <is>
          <t>GEA Brewing Systems</t>
        </is>
      </c>
      <c r="I12" t="n">
        <v>10</v>
      </c>
      <c r="J12" t="inlineStr">
        <is>
          <t>https://www.gea.com/en/products/brewery-systems</t>
        </is>
      </c>
    </row>
    <row r="13">
      <c r="A13" s="31" t="inlineStr">
        <is>
          <t>Parts degreasing</t>
        </is>
      </c>
      <c r="B13" t="inlineStr">
        <is>
          <t>Small</t>
        </is>
      </c>
      <c r="C13" s="27" t="n">
        <v>60</v>
      </c>
      <c r="D13" s="27" t="n">
        <v>25</v>
      </c>
      <c r="E13" s="27" t="n">
        <v>3000</v>
      </c>
      <c r="F13" t="inlineStr">
        <is>
          <t>Workshop/small batch</t>
        </is>
      </c>
      <c r="G13" t="inlineStr">
        <is>
          <t>Parts degreasing - Small</t>
        </is>
      </c>
      <c r="H13" t="inlineStr">
        <is>
          <t>Dürr Systems AG</t>
        </is>
      </c>
      <c r="I13" t="n">
        <v>15</v>
      </c>
      <c r="J13" t="inlineStr">
        <is>
          <t>https://www.durr.com/en/products-and-services/cleaning-technology</t>
        </is>
      </c>
    </row>
    <row r="14">
      <c r="A14" s="31" t="inlineStr">
        <is>
          <t>Parts degreasing</t>
        </is>
      </c>
      <c r="B14" t="inlineStr">
        <is>
          <t>Medium</t>
        </is>
      </c>
      <c r="C14" s="27" t="n">
        <v>60</v>
      </c>
      <c r="D14" s="27" t="n">
        <v>75</v>
      </c>
      <c r="E14" s="27" t="n">
        <v>4500</v>
      </c>
      <c r="F14" t="inlineStr">
        <is>
          <t>Automotive supplier</t>
        </is>
      </c>
      <c r="G14" t="inlineStr">
        <is>
          <t>Parts degreasing - Medium</t>
        </is>
      </c>
      <c r="H14" t="inlineStr">
        <is>
          <t>Dürr Systems AG</t>
        </is>
      </c>
      <c r="I14" t="n">
        <v>15</v>
      </c>
      <c r="J14" t="inlineStr">
        <is>
          <t>https://www.durr.com/en/products-and-services/cleaning-technology</t>
        </is>
      </c>
    </row>
    <row r="15">
      <c r="A15" s="31" t="inlineStr">
        <is>
          <t>Parts degreasing</t>
        </is>
      </c>
      <c r="B15" t="inlineStr">
        <is>
          <t>Large</t>
        </is>
      </c>
      <c r="C15" s="27" t="n">
        <v>60</v>
      </c>
      <c r="D15" s="27" t="n">
        <v>180</v>
      </c>
      <c r="E15" s="27" t="n">
        <v>6000</v>
      </c>
      <c r="F15" t="inlineStr">
        <is>
          <t>Heavy manufacturing</t>
        </is>
      </c>
      <c r="G15" t="inlineStr">
        <is>
          <t>Parts degreasing - Large</t>
        </is>
      </c>
      <c r="H15" t="inlineStr">
        <is>
          <t>Dürr Systems AG</t>
        </is>
      </c>
      <c r="I15" t="n">
        <v>15</v>
      </c>
      <c r="J15" t="inlineStr">
        <is>
          <t>https://www.durr.com/en/products-and-services/cleaning-technology</t>
        </is>
      </c>
    </row>
    <row r="16">
      <c r="A16" s="31" t="inlineStr">
        <is>
          <t>Commercial laundry</t>
        </is>
      </c>
      <c r="B16" t="inlineStr">
        <is>
          <t>Small</t>
        </is>
      </c>
      <c r="C16" s="27" t="n">
        <v>70</v>
      </c>
      <c r="D16" s="27" t="n">
        <v>130</v>
      </c>
      <c r="E16" s="27" t="n">
        <v>4000</v>
      </c>
      <c r="F16" t="inlineStr">
        <is>
          <t>Hotel (500 kg/day)</t>
        </is>
      </c>
      <c r="G16" t="inlineStr">
        <is>
          <t>Commercial laundry - Small</t>
        </is>
      </c>
      <c r="H16" t="inlineStr">
        <is>
          <t>AERCO Laundry Sizing Guide</t>
        </is>
      </c>
      <c r="I16" t="n">
        <v>18</v>
      </c>
      <c r="J16" t="inlineStr">
        <is>
          <t>https://www.aerco.com/dfsmedia/0533dbba17714b1ab581ab07a4cbb521/58930-source/sizing-laundry-hot-water-systems</t>
        </is>
      </c>
    </row>
    <row r="17">
      <c r="A17" s="31" t="inlineStr">
        <is>
          <t>Commercial laundry</t>
        </is>
      </c>
      <c r="B17" t="inlineStr">
        <is>
          <t>Medium</t>
        </is>
      </c>
      <c r="C17" s="27" t="n">
        <v>70</v>
      </c>
      <c r="D17" s="27" t="n">
        <v>670</v>
      </c>
      <c r="E17" s="27" t="n">
        <v>5500</v>
      </c>
      <c r="F17" t="inlineStr">
        <is>
          <t>Hospital (2,500 kg/day)</t>
        </is>
      </c>
      <c r="G17" t="inlineStr">
        <is>
          <t>Commercial laundry - Medium</t>
        </is>
      </c>
      <c r="H17" t="inlineStr">
        <is>
          <t>AERCO Laundry Sizing Guide</t>
        </is>
      </c>
      <c r="I17" t="n">
        <v>18</v>
      </c>
      <c r="J17" t="inlineStr">
        <is>
          <t>https://www.aerco.com/dfsmedia/0533dbba17714b1ab581ab07a4cbb521/58930-source/sizing-laundry-hot-water-systems</t>
        </is>
      </c>
    </row>
    <row r="18">
      <c r="A18" s="31" t="inlineStr">
        <is>
          <t>Commercial laundry</t>
        </is>
      </c>
      <c r="B18" t="inlineStr">
        <is>
          <t>Large</t>
        </is>
      </c>
      <c r="C18" s="27" t="n">
        <v>70</v>
      </c>
      <c r="D18" s="27" t="n">
        <v>2700</v>
      </c>
      <c r="E18" s="27" t="n">
        <v>7000</v>
      </c>
      <c r="F18" t="inlineStr">
        <is>
          <t>Industrial (10,000+ kg/day)</t>
        </is>
      </c>
      <c r="G18" t="inlineStr">
        <is>
          <t>Commercial laundry - Large</t>
        </is>
      </c>
      <c r="H18" t="inlineStr">
        <is>
          <t>AERCO Laundry Sizing Guide</t>
        </is>
      </c>
      <c r="I18" t="n">
        <v>18</v>
      </c>
      <c r="J18" t="inlineStr">
        <is>
          <t>https://www.aerco.com/dfsmedia/0533dbba17714b1ab581ab07a4cbb521/58930-source/sizing-laundry-hot-water-systems</t>
        </is>
      </c>
    </row>
    <row r="19">
      <c r="A19" s="31" t="inlineStr">
        <is>
          <t>Timber drying</t>
        </is>
      </c>
      <c r="B19" t="inlineStr">
        <is>
          <t>Small</t>
        </is>
      </c>
      <c r="C19" s="27" t="n">
        <v>70</v>
      </c>
      <c r="D19" s="27" t="n">
        <v>50</v>
      </c>
      <c r="E19" s="27" t="n">
        <v>5000</v>
      </c>
      <c r="F19" t="inlineStr">
        <is>
          <t>Joinery/furniture (5m³)</t>
        </is>
      </c>
      <c r="G19" t="inlineStr">
        <is>
          <t>Timber drying - Small</t>
        </is>
      </c>
      <c r="H19" t="inlineStr">
        <is>
          <t>Oklahoma State Extension - Kiln Drying</t>
        </is>
      </c>
      <c r="I19" t="n">
        <v>18</v>
      </c>
      <c r="J19" t="inlineStr">
        <is>
          <t>https://extension.okstate.edu/fact-sheets/fundamental-aspects-of-kiln-drying-lumber.html</t>
        </is>
      </c>
    </row>
    <row r="20">
      <c r="A20" s="31" t="inlineStr">
        <is>
          <t>Timber drying</t>
        </is>
      </c>
      <c r="B20" t="inlineStr">
        <is>
          <t>Medium</t>
        </is>
      </c>
      <c r="C20" s="27" t="n">
        <v>70</v>
      </c>
      <c r="D20" s="27" t="n">
        <v>200</v>
      </c>
      <c r="E20" s="27" t="n">
        <v>6000</v>
      </c>
      <c r="F20" t="inlineStr">
        <is>
          <t>Small sawmill (25m³)</t>
        </is>
      </c>
      <c r="G20" t="inlineStr">
        <is>
          <t>Timber drying - Medium</t>
        </is>
      </c>
      <c r="H20" t="inlineStr">
        <is>
          <t>Oklahoma State Extension - Kiln Drying</t>
        </is>
      </c>
      <c r="I20" t="n">
        <v>18</v>
      </c>
      <c r="J20" t="inlineStr">
        <is>
          <t>https://extension.okstate.edu/fact-sheets/fundamental-aspects-of-kiln-drying-lumber.html</t>
        </is>
      </c>
    </row>
    <row r="21">
      <c r="A21" s="31" t="inlineStr">
        <is>
          <t>Timber drying</t>
        </is>
      </c>
      <c r="B21" t="inlineStr">
        <is>
          <t>Large</t>
        </is>
      </c>
      <c r="C21" s="27" t="n">
        <v>70</v>
      </c>
      <c r="D21" s="27" t="n">
        <v>500</v>
      </c>
      <c r="E21" s="27" t="n">
        <v>7000</v>
      </c>
      <c r="F21" t="inlineStr">
        <is>
          <t>Industrial kiln (100m³)</t>
        </is>
      </c>
      <c r="G21" t="inlineStr">
        <is>
          <t>Timber drying - Large</t>
        </is>
      </c>
      <c r="H21" t="inlineStr">
        <is>
          <t>Oklahoma State Extension - Kiln Drying</t>
        </is>
      </c>
      <c r="I21" t="n">
        <v>18</v>
      </c>
      <c r="J21" t="inlineStr">
        <is>
          <t>https://extension.okstate.edu/fact-sheets/fundamental-aspects-of-kiln-drying-lumber.html</t>
        </is>
      </c>
    </row>
    <row r="22">
      <c r="A22" s="31" t="inlineStr">
        <is>
          <t>Paint curing</t>
        </is>
      </c>
      <c r="B22" t="inlineStr">
        <is>
          <t>Small</t>
        </is>
      </c>
      <c r="C22" s="27" t="n">
        <v>80</v>
      </c>
      <c r="D22" s="27" t="n">
        <v>50</v>
      </c>
      <c r="E22" s="27" t="n">
        <v>3000</v>
      </c>
      <c r="F22" t="inlineStr">
        <is>
          <t>Small paint shop</t>
        </is>
      </c>
      <c r="G22" t="inlineStr">
        <is>
          <t>Paint curing - Small</t>
        </is>
      </c>
      <c r="H22" t="inlineStr">
        <is>
          <t>Dürr Paint Systems</t>
        </is>
      </c>
      <c r="I22" t="n">
        <v>15</v>
      </c>
      <c r="J22" t="inlineStr">
        <is>
          <t>https://www.durr.com/en/products-and-services/paint-systems</t>
        </is>
      </c>
    </row>
    <row r="23">
      <c r="A23" s="31" t="inlineStr">
        <is>
          <t>Paint curing</t>
        </is>
      </c>
      <c r="B23" t="inlineStr">
        <is>
          <t>Medium</t>
        </is>
      </c>
      <c r="C23" s="27" t="n">
        <v>80</v>
      </c>
      <c r="D23" s="27" t="n">
        <v>150</v>
      </c>
      <c r="E23" s="27" t="n">
        <v>4500</v>
      </c>
      <c r="F23" t="inlineStr">
        <is>
          <t>Automotive components</t>
        </is>
      </c>
      <c r="G23" t="inlineStr">
        <is>
          <t>Paint curing - Medium</t>
        </is>
      </c>
      <c r="H23" t="inlineStr">
        <is>
          <t>Dürr Paint Systems</t>
        </is>
      </c>
      <c r="I23" t="n">
        <v>15</v>
      </c>
      <c r="J23" t="inlineStr">
        <is>
          <t>https://www.durr.com/en/products-and-services/paint-systems</t>
        </is>
      </c>
    </row>
    <row r="24">
      <c r="A24" s="31" t="inlineStr">
        <is>
          <t>Paint curing</t>
        </is>
      </c>
      <c r="B24" t="inlineStr">
        <is>
          <t>Large</t>
        </is>
      </c>
      <c r="C24" s="27" t="n">
        <v>80</v>
      </c>
      <c r="D24" s="27" t="n">
        <v>350</v>
      </c>
      <c r="E24" s="27" t="n">
        <v>6000</v>
      </c>
      <c r="F24" t="inlineStr">
        <is>
          <t>OEM paint line</t>
        </is>
      </c>
      <c r="G24" t="inlineStr">
        <is>
          <t>Paint curing - Large</t>
        </is>
      </c>
      <c r="H24" t="inlineStr">
        <is>
          <t>Dürr Paint Systems</t>
        </is>
      </c>
      <c r="I24" t="n">
        <v>15</v>
      </c>
      <c r="J24" t="inlineStr">
        <is>
          <t>https://www.durr.com/en/products-and-services/paint-systems</t>
        </is>
      </c>
    </row>
    <row r="25">
      <c r="A25" s="31" t="inlineStr">
        <is>
          <t>Textile drying</t>
        </is>
      </c>
      <c r="B25" t="inlineStr">
        <is>
          <t>Small</t>
        </is>
      </c>
      <c r="C25" s="27" t="n">
        <v>90</v>
      </c>
      <c r="D25" s="27" t="n">
        <v>60</v>
      </c>
      <c r="E25" s="27" t="n">
        <v>4000</v>
      </c>
      <c r="F25" t="inlineStr">
        <is>
          <t>Small finishing mill</t>
        </is>
      </c>
      <c r="G25" t="inlineStr">
        <is>
          <t>Textile drying - Small</t>
        </is>
      </c>
      <c r="H25" t="inlineStr">
        <is>
          <t>Monforts Textilmaschinen</t>
        </is>
      </c>
      <c r="I25" t="n">
        <v>20</v>
      </c>
      <c r="J25" t="inlineStr">
        <is>
          <t>https://www.monforts.de/en/</t>
        </is>
      </c>
    </row>
    <row r="26">
      <c r="A26" s="31" t="inlineStr">
        <is>
          <t>Textile drying</t>
        </is>
      </c>
      <c r="B26" t="inlineStr">
        <is>
          <t>Medium</t>
        </is>
      </c>
      <c r="C26" s="27" t="n">
        <v>90</v>
      </c>
      <c r="D26" s="27" t="n">
        <v>200</v>
      </c>
      <c r="E26" s="27" t="n">
        <v>5500</v>
      </c>
      <c r="F26" t="inlineStr">
        <is>
          <t>Regional mill</t>
        </is>
      </c>
      <c r="G26" t="inlineStr">
        <is>
          <t>Textile drying - Medium</t>
        </is>
      </c>
      <c r="H26" t="inlineStr">
        <is>
          <t>Monforts Textilmaschinen</t>
        </is>
      </c>
      <c r="I26" t="n">
        <v>20</v>
      </c>
      <c r="J26" t="inlineStr">
        <is>
          <t>https://www.monforts.de/en/</t>
        </is>
      </c>
    </row>
    <row r="27">
      <c r="A27" s="31" t="inlineStr">
        <is>
          <t>Textile drying</t>
        </is>
      </c>
      <c r="B27" t="inlineStr">
        <is>
          <t>Large</t>
        </is>
      </c>
      <c r="C27" s="27" t="n">
        <v>90</v>
      </c>
      <c r="D27" s="27" t="n">
        <v>450</v>
      </c>
      <c r="E27" s="27" t="n">
        <v>7000</v>
      </c>
      <c r="F27" t="inlineStr">
        <is>
          <t>Industrial stenter line</t>
        </is>
      </c>
      <c r="G27" t="inlineStr">
        <is>
          <t>Textile drying - Large</t>
        </is>
      </c>
      <c r="H27" t="inlineStr">
        <is>
          <t>Monforts Textilmaschinen</t>
        </is>
      </c>
      <c r="I27" t="n">
        <v>20</v>
      </c>
      <c r="J27" t="inlineStr">
        <is>
          <t>https://www.monforts.de/en/</t>
        </is>
      </c>
    </row>
    <row r="28">
      <c r="A28" s="31" t="inlineStr">
        <is>
          <t>District heating</t>
        </is>
      </c>
      <c r="B28" t="inlineStr">
        <is>
          <t>Small</t>
        </is>
      </c>
      <c r="C28" s="27" t="n">
        <v>70</v>
      </c>
      <c r="D28" s="27" t="n">
        <v>500</v>
      </c>
      <c r="E28" s="27" t="n">
        <v>4500</v>
      </c>
      <c r="F28" t="inlineStr">
        <is>
          <t>100-200 homes</t>
        </is>
      </c>
      <c r="G28" t="inlineStr">
        <is>
          <t>District heating - Small</t>
        </is>
      </c>
      <c r="H28" t="inlineStr">
        <is>
          <t>CIBSE CP1 Heat Networks Code of Practice</t>
        </is>
      </c>
      <c r="I28" t="n">
        <v>30</v>
      </c>
      <c r="J28" t="inlineStr">
        <is>
          <t>https://www.cibsejournal.com/technical/the-perfect-return-heat-network-return-temperatures/</t>
        </is>
      </c>
    </row>
    <row r="29">
      <c r="A29" s="31" t="inlineStr">
        <is>
          <t>District heating</t>
        </is>
      </c>
      <c r="B29" t="inlineStr">
        <is>
          <t>Medium</t>
        </is>
      </c>
      <c r="C29" s="27" t="n">
        <v>70</v>
      </c>
      <c r="D29" s="27" t="n">
        <v>2000</v>
      </c>
      <c r="E29" s="27" t="n">
        <v>5000</v>
      </c>
      <c r="F29" t="inlineStr">
        <is>
          <t>400-800 homes</t>
        </is>
      </c>
      <c r="G29" t="inlineStr">
        <is>
          <t>District heating - Medium</t>
        </is>
      </c>
      <c r="H29" t="inlineStr">
        <is>
          <t>CIBSE CP1 Heat Networks Code of Practice</t>
        </is>
      </c>
      <c r="I29" t="n">
        <v>30</v>
      </c>
      <c r="J29" t="inlineStr">
        <is>
          <t>https://www.cibsejournal.com/technical/the-perfect-return-heat-network-return-temperatures/</t>
        </is>
      </c>
    </row>
    <row r="30">
      <c r="A30" s="31" t="inlineStr">
        <is>
          <t>District heating</t>
        </is>
      </c>
      <c r="B30" t="inlineStr">
        <is>
          <t>Large</t>
        </is>
      </c>
      <c r="C30" s="27" t="n">
        <v>70</v>
      </c>
      <c r="D30" s="27" t="n">
        <v>5000</v>
      </c>
      <c r="E30" s="27" t="n">
        <v>5500</v>
      </c>
      <c r="F30" t="inlineStr">
        <is>
          <t>1,000+ homes</t>
        </is>
      </c>
      <c r="G30" t="inlineStr">
        <is>
          <t>District heating - Large</t>
        </is>
      </c>
      <c r="H30" t="inlineStr">
        <is>
          <t>CIBSE CP1 Heat Networks Code of Practice</t>
        </is>
      </c>
      <c r="I30" t="n">
        <v>30</v>
      </c>
      <c r="J30" t="inlineStr">
        <is>
          <t>https://www.cibsejournal.com/technical/the-perfect-return-heat-network-return-temperatures/</t>
        </is>
      </c>
    </row>
    <row r="31">
      <c r="A31" s="31" t="inlineStr">
        <is>
          <t>Building HVAC</t>
        </is>
      </c>
      <c r="B31" t="inlineStr">
        <is>
          <t>Small</t>
        </is>
      </c>
      <c r="C31" s="27" t="n">
        <v>60</v>
      </c>
      <c r="D31" s="27" t="n">
        <v>80</v>
      </c>
      <c r="E31" s="27" t="n">
        <v>3500</v>
      </c>
      <c r="F31" t="inlineStr">
        <is>
          <t>Small office (1,000m²)</t>
        </is>
      </c>
      <c r="G31" t="inlineStr">
        <is>
          <t>Building HVAC - Small</t>
        </is>
      </c>
      <c r="H31" t="inlineStr">
        <is>
          <t>ASHRAE 90.1 / CIBSE Guide B</t>
        </is>
      </c>
      <c r="I31" t="n">
        <v>12</v>
      </c>
      <c r="J31" t="inlineStr">
        <is>
          <t>https://www.trane.com/content/dam/Trane/Commercial/global/products-systems/education-training/engineers-newsletters/standards-codes/ADM-APN070-EN_06032019.pdf</t>
        </is>
      </c>
    </row>
    <row r="32">
      <c r="A32" s="31" t="inlineStr">
        <is>
          <t>Building HVAC</t>
        </is>
      </c>
      <c r="B32" t="inlineStr">
        <is>
          <t>Medium</t>
        </is>
      </c>
      <c r="C32" s="27" t="n">
        <v>60</v>
      </c>
      <c r="D32" s="27" t="n">
        <v>300</v>
      </c>
      <c r="E32" s="27" t="n">
        <v>4000</v>
      </c>
      <c r="F32" t="inlineStr">
        <is>
          <t>Large office (5,000m²)</t>
        </is>
      </c>
      <c r="G32" t="inlineStr">
        <is>
          <t>Building HVAC - Medium</t>
        </is>
      </c>
      <c r="H32" t="inlineStr">
        <is>
          <t>ASHRAE 90.1 / CIBSE Guide B</t>
        </is>
      </c>
      <c r="I32" t="n">
        <v>12</v>
      </c>
      <c r="J32" t="inlineStr">
        <is>
          <t>https://www.trane.com/content/dam/Trane/Commercial/global/products-systems/education-training/engineers-newsletters/standards-codes/ADM-APN070-EN_06032019.pdf</t>
        </is>
      </c>
    </row>
    <row r="33">
      <c r="A33" s="31" t="inlineStr">
        <is>
          <t>Building HVAC</t>
        </is>
      </c>
      <c r="B33" t="inlineStr">
        <is>
          <t>Large</t>
        </is>
      </c>
      <c r="C33" s="27" t="n">
        <v>60</v>
      </c>
      <c r="D33" s="27" t="n">
        <v>1000</v>
      </c>
      <c r="E33" s="27" t="n">
        <v>4500</v>
      </c>
      <c r="F33" t="inlineStr">
        <is>
          <t>Campus/hospital</t>
        </is>
      </c>
      <c r="G33" t="inlineStr">
        <is>
          <t>Building HVAC - Large</t>
        </is>
      </c>
      <c r="H33" t="inlineStr">
        <is>
          <t>ASHRAE 90.1 / CIBSE Guide B</t>
        </is>
      </c>
      <c r="I33" t="n">
        <v>12</v>
      </c>
      <c r="J33" t="inlineStr">
        <is>
          <t>https://www.trane.com/content/dam/Trane/Commercial/global/products-systems/education-training/engineers-newsletters/standards-codes/ADM-APN070-EN_06032019.pdf</t>
        </is>
      </c>
    </row>
    <row r="34">
      <c r="A34" s="31" t="inlineStr">
        <is>
          <t>Swimming pool</t>
        </is>
      </c>
      <c r="B34" t="inlineStr">
        <is>
          <t>Small</t>
        </is>
      </c>
      <c r="C34" s="27" t="n">
        <v>30</v>
      </c>
      <c r="D34" s="27" t="n">
        <v>60</v>
      </c>
      <c r="E34" s="27" t="n">
        <v>6000</v>
      </c>
      <c r="F34" t="inlineStr">
        <is>
          <t>Hotel pool (12x6m)</t>
        </is>
      </c>
      <c r="G34" t="inlineStr">
        <is>
          <t>Swimming pool - Small</t>
        </is>
      </c>
      <c r="H34" t="inlineStr">
        <is>
          <t>Kensa Heat Pumps - Pools Application Guide</t>
        </is>
      </c>
      <c r="I34" t="n">
        <v>5</v>
      </c>
      <c r="J34" t="inlineStr">
        <is>
          <t>https://www.kensaheatpumps.com/wp-content/uploads/2014/09/AIS—Heat-pumps-and-swimming-pools-—2.0_with_metadata.pdf</t>
        </is>
      </c>
    </row>
    <row r="35">
      <c r="A35" s="31" t="inlineStr">
        <is>
          <t>Swimming pool</t>
        </is>
      </c>
      <c r="B35" t="inlineStr">
        <is>
          <t>Medium</t>
        </is>
      </c>
      <c r="C35" s="27" t="n">
        <v>30</v>
      </c>
      <c r="D35" s="27" t="n">
        <v>180</v>
      </c>
      <c r="E35" s="27" t="n">
        <v>7000</v>
      </c>
      <c r="F35" t="inlineStr">
        <is>
          <t>Leisure centre (25m)</t>
        </is>
      </c>
      <c r="G35" t="inlineStr">
        <is>
          <t>Swimming pool - Medium</t>
        </is>
      </c>
      <c r="H35" t="inlineStr">
        <is>
          <t>Kensa Heat Pumps - Pools Application Guide</t>
        </is>
      </c>
      <c r="I35" t="n">
        <v>5</v>
      </c>
      <c r="J35" t="inlineStr">
        <is>
          <t>https://www.kensaheatpumps.com/wp-content/uploads/2014/09/AIS—Heat-pumps-and-swimming-pools-—2.0_with_metadata.pdf</t>
        </is>
      </c>
    </row>
    <row r="36">
      <c r="A36" s="31" t="inlineStr">
        <is>
          <t>Swimming pool</t>
        </is>
      </c>
      <c r="B36" t="inlineStr">
        <is>
          <t>Large</t>
        </is>
      </c>
      <c r="C36" s="27" t="n">
        <v>30</v>
      </c>
      <c r="D36" s="27" t="n">
        <v>450</v>
      </c>
      <c r="E36" s="27" t="n">
        <v>8000</v>
      </c>
      <c r="F36" t="inlineStr">
        <is>
          <t>Competition (50m)</t>
        </is>
      </c>
      <c r="G36" t="inlineStr">
        <is>
          <t>Swimming pool - Large</t>
        </is>
      </c>
      <c r="H36" t="inlineStr">
        <is>
          <t>Kensa Heat Pumps - Pools Application Guide</t>
        </is>
      </c>
      <c r="I36" t="n">
        <v>5</v>
      </c>
      <c r="J36" t="inlineStr">
        <is>
          <t>https://www.kensaheatpumps.com/wp-content/uploads/2014/09/AIS—Heat-pumps-and-swimming-pools-—2.0_with_metadata.pdf</t>
        </is>
      </c>
    </row>
    <row r="37">
      <c r="A37" s="31" t="inlineStr">
        <is>
          <t>Glasshouse heating</t>
        </is>
      </c>
      <c r="B37" t="inlineStr">
        <is>
          <t>Small</t>
        </is>
      </c>
      <c r="C37" s="27" t="n">
        <v>50</v>
      </c>
      <c r="D37" s="27" t="n">
        <v>200</v>
      </c>
      <c r="E37" s="27" t="n">
        <v>3500</v>
      </c>
      <c r="F37" t="inlineStr">
        <is>
          <t>1 hectare tomatoes</t>
        </is>
      </c>
      <c r="G37" t="inlineStr">
        <is>
          <t>Glasshouse heating - Small</t>
        </is>
      </c>
      <c r="H37" t="inlineStr">
        <is>
          <t>Dutch Greenhouses / AHDB Horticulture</t>
        </is>
      </c>
      <c r="I37" t="n">
        <v>20</v>
      </c>
      <c r="J37" t="inlineStr">
        <is>
          <t>https://dutchgreenhouses.com/en/climate/heating</t>
        </is>
      </c>
    </row>
    <row r="38">
      <c r="A38" s="31" t="inlineStr">
        <is>
          <t>Glasshouse heating</t>
        </is>
      </c>
      <c r="B38" t="inlineStr">
        <is>
          <t>Medium</t>
        </is>
      </c>
      <c r="C38" s="27" t="n">
        <v>50</v>
      </c>
      <c r="D38" s="27" t="n">
        <v>750</v>
      </c>
      <c r="E38" s="27" t="n">
        <v>4000</v>
      </c>
      <c r="F38" t="inlineStr">
        <is>
          <t>4 hectares mixed</t>
        </is>
      </c>
      <c r="G38" t="inlineStr">
        <is>
          <t>Glasshouse heating - Medium</t>
        </is>
      </c>
      <c r="H38" t="inlineStr">
        <is>
          <t>Dutch Greenhouses / AHDB Horticulture</t>
        </is>
      </c>
      <c r="I38" t="n">
        <v>20</v>
      </c>
      <c r="J38" t="inlineStr">
        <is>
          <t>https://dutchgreenhouses.com/en/climate/heating</t>
        </is>
      </c>
    </row>
    <row r="39">
      <c r="A39" s="31" t="inlineStr">
        <is>
          <t>Glasshouse heating</t>
        </is>
      </c>
      <c r="B39" t="inlineStr">
        <is>
          <t>Large</t>
        </is>
      </c>
      <c r="C39" s="27" t="n">
        <v>50</v>
      </c>
      <c r="D39" s="27" t="n">
        <v>2000</v>
      </c>
      <c r="E39" s="27" t="n">
        <v>4500</v>
      </c>
      <c r="F39" t="inlineStr">
        <is>
          <t>10+ hectares</t>
        </is>
      </c>
      <c r="G39" t="inlineStr">
        <is>
          <t>Glasshouse heating - Large</t>
        </is>
      </c>
      <c r="H39" t="inlineStr">
        <is>
          <t>Dutch Greenhouses / AHDB Horticulture</t>
        </is>
      </c>
      <c r="I39" t="n">
        <v>20</v>
      </c>
      <c r="J39" t="inlineStr">
        <is>
          <t>https://dutchgreenhouses.com/en/climate/heating</t>
        </is>
      </c>
    </row>
    <row r="40">
      <c r="A40" s="31" t="inlineStr">
        <is>
          <t>Reactor heating</t>
        </is>
      </c>
      <c r="B40" t="inlineStr">
        <is>
          <t>Small</t>
        </is>
      </c>
      <c r="C40" s="27" t="n">
        <v>90</v>
      </c>
      <c r="D40" s="27" t="n">
        <v>60</v>
      </c>
      <c r="E40" s="27" t="n">
        <v>5000</v>
      </c>
      <c r="F40" t="inlineStr">
        <is>
          <t>Pilot/R&amp;D reactor</t>
        </is>
      </c>
      <c r="G40" t="inlineStr">
        <is>
          <t>Reactor heating - Small</t>
        </is>
      </c>
      <c r="H40" t="inlineStr">
        <is>
          <t>IChemE Process Data</t>
        </is>
      </c>
      <c r="I40" t="n">
        <v>10</v>
      </c>
      <c r="J40" t="inlineStr">
        <is>
          <t>https://www.icheme.org/</t>
        </is>
      </c>
    </row>
    <row r="41">
      <c r="A41" s="31" t="inlineStr">
        <is>
          <t>Reactor heating</t>
        </is>
      </c>
      <c r="B41" t="inlineStr">
        <is>
          <t>Medium</t>
        </is>
      </c>
      <c r="C41" s="27" t="n">
        <v>90</v>
      </c>
      <c r="D41" s="27" t="n">
        <v>200</v>
      </c>
      <c r="E41" s="27" t="n">
        <v>6000</v>
      </c>
      <c r="F41" t="inlineStr">
        <is>
          <t>Batch chemical</t>
        </is>
      </c>
      <c r="G41" t="inlineStr">
        <is>
          <t>Reactor heating - Medium</t>
        </is>
      </c>
      <c r="H41" t="inlineStr">
        <is>
          <t>IChemE Process Data</t>
        </is>
      </c>
      <c r="I41" t="n">
        <v>10</v>
      </c>
      <c r="J41" t="inlineStr">
        <is>
          <t>https://www.icheme.org/</t>
        </is>
      </c>
    </row>
    <row r="42">
      <c r="A42" s="31" t="inlineStr">
        <is>
          <t>Reactor heating</t>
        </is>
      </c>
      <c r="B42" t="inlineStr">
        <is>
          <t>Large</t>
        </is>
      </c>
      <c r="C42" s="27" t="n">
        <v>90</v>
      </c>
      <c r="D42" s="27" t="n">
        <v>450</v>
      </c>
      <c r="E42" s="27" t="n">
        <v>7000</v>
      </c>
      <c r="F42" t="inlineStr">
        <is>
          <t>Continuous process</t>
        </is>
      </c>
      <c r="G42" t="inlineStr">
        <is>
          <t>Reactor heating - Large</t>
        </is>
      </c>
      <c r="H42" t="inlineStr">
        <is>
          <t>IChemE Process Data</t>
        </is>
      </c>
      <c r="I42" t="n">
        <v>10</v>
      </c>
      <c r="J42" t="inlineStr">
        <is>
          <t>https://www.icheme.org/</t>
        </is>
      </c>
    </row>
    <row r="43">
      <c r="A43" s="31" t="inlineStr">
        <is>
          <t>Fermentation</t>
        </is>
      </c>
      <c r="B43" t="inlineStr">
        <is>
          <t>Small</t>
        </is>
      </c>
      <c r="C43" s="27" t="n">
        <v>35</v>
      </c>
      <c r="D43" s="27" t="n">
        <v>25</v>
      </c>
      <c r="E43" s="27" t="n">
        <v>6000</v>
      </c>
      <c r="F43" t="inlineStr">
        <is>
          <t>Craft brewery (5k hl/yr)</t>
        </is>
      </c>
      <c r="G43" t="inlineStr">
        <is>
          <t>Fermentation - Small</t>
        </is>
      </c>
      <c r="H43" t="inlineStr">
        <is>
          <t>Clarke Energy / Brewery Best Practice</t>
        </is>
      </c>
      <c r="I43" t="n">
        <v>5</v>
      </c>
      <c r="J43" t="inlineStr">
        <is>
          <t>https://www.clarke-energy.com/applications/breweries/</t>
        </is>
      </c>
    </row>
    <row r="44">
      <c r="A44" s="31" t="inlineStr">
        <is>
          <t>Fermentation</t>
        </is>
      </c>
      <c r="B44" t="inlineStr">
        <is>
          <t>Medium</t>
        </is>
      </c>
      <c r="C44" s="27" t="n">
        <v>35</v>
      </c>
      <c r="D44" s="27" t="n">
        <v>100</v>
      </c>
      <c r="E44" s="27" t="n">
        <v>7000</v>
      </c>
      <c r="F44" t="inlineStr">
        <is>
          <t>Regional (50k hl/yr)</t>
        </is>
      </c>
      <c r="G44" t="inlineStr">
        <is>
          <t>Fermentation - Medium</t>
        </is>
      </c>
      <c r="H44" t="inlineStr">
        <is>
          <t>Clarke Energy / Brewery Best Practice</t>
        </is>
      </c>
      <c r="I44" t="n">
        <v>5</v>
      </c>
      <c r="J44" t="inlineStr">
        <is>
          <t>https://www.clarke-energy.com/applications/breweries/</t>
        </is>
      </c>
    </row>
    <row r="45">
      <c r="A45" s="31" t="inlineStr">
        <is>
          <t>Fermentation</t>
        </is>
      </c>
      <c r="B45" t="inlineStr">
        <is>
          <t>Large</t>
        </is>
      </c>
      <c r="C45" s="27" t="n">
        <v>35</v>
      </c>
      <c r="D45" s="27" t="n">
        <v>280</v>
      </c>
      <c r="E45" s="27" t="n">
        <v>8000</v>
      </c>
      <c r="F45" t="inlineStr">
        <is>
          <t>Industrial biotech</t>
        </is>
      </c>
      <c r="G45" t="inlineStr">
        <is>
          <t>Fermentation - Large</t>
        </is>
      </c>
      <c r="H45" t="inlineStr">
        <is>
          <t>Clarke Energy / Brewery Best Practice</t>
        </is>
      </c>
      <c r="I45" t="n">
        <v>5</v>
      </c>
      <c r="J45" t="inlineStr">
        <is>
          <t>https://www.clarke-energy.com/applications/breweries/</t>
        </is>
      </c>
    </row>
    <row r="48">
      <c r="A48" s="15" t="inlineStr">
        <is>
          <t>MODULE MATCHING SUMMARY</t>
        </is>
      </c>
      <c r="B48" s="49" t="n"/>
      <c r="C48" s="49" t="n"/>
      <c r="D48" s="49" t="n"/>
      <c r="E48" s="49" t="n"/>
      <c r="F48" s="17" t="n"/>
      <c r="G48" s="17" t="n"/>
      <c r="H48" s="17" t="n"/>
      <c r="I48" s="17" t="n"/>
      <c r="J48" s="17" t="n"/>
    </row>
    <row r="49">
      <c r="A49" s="41" t="inlineStr">
        <is>
          <t>Single 250kWth module best matches:</t>
        </is>
      </c>
      <c r="B49" s="19" t="n"/>
      <c r="C49" s="19" t="n"/>
      <c r="D49" s="19" t="n"/>
      <c r="E49" s="19" t="n"/>
    </row>
    <row r="50">
      <c r="A50" s="31" t="inlineStr">
        <is>
          <t xml:space="preserve">  • Pasteurisation - Small/Medium</t>
        </is>
      </c>
    </row>
    <row r="51">
      <c r="A51" s="31" t="inlineStr">
        <is>
          <t xml:space="preserve">  • CIP - All sizes</t>
        </is>
      </c>
    </row>
    <row r="52">
      <c r="A52" s="31" t="inlineStr">
        <is>
          <t xml:space="preserve">  • Bottle washing - All sizes</t>
        </is>
      </c>
    </row>
    <row r="53">
      <c r="A53" s="31" t="inlineStr">
        <is>
          <t xml:space="preserve">  • Parts degreasing - All sizes</t>
        </is>
      </c>
    </row>
    <row r="54">
      <c r="A54" s="31" t="inlineStr">
        <is>
          <t xml:space="preserve">  • Commercial laundry - Small</t>
        </is>
      </c>
    </row>
    <row r="55">
      <c r="A55" s="31" t="inlineStr">
        <is>
          <t xml:space="preserve">  • Timber drying - Small/Medium</t>
        </is>
      </c>
    </row>
    <row r="56">
      <c r="A56" s="31" t="inlineStr">
        <is>
          <t xml:space="preserve">  • Paint curing - All sizes</t>
        </is>
      </c>
    </row>
    <row r="57">
      <c r="A57" s="31" t="inlineStr">
        <is>
          <t xml:space="preserve">  • Textile drying - Small/Medium</t>
        </is>
      </c>
    </row>
    <row r="58">
      <c r="A58" s="31" t="inlineStr">
        <is>
          <t xml:space="preserve">  • Building HVAC - Small/Medium</t>
        </is>
      </c>
    </row>
    <row r="59">
      <c r="A59" s="31" t="inlineStr">
        <is>
          <t xml:space="preserve">  • Swimming pool - All sizes</t>
        </is>
      </c>
    </row>
    <row r="60">
      <c r="A60" s="31" t="inlineStr">
        <is>
          <t xml:space="preserve">  • Glasshouse heating - Small</t>
        </is>
      </c>
    </row>
    <row r="61">
      <c r="A61" s="31" t="inlineStr">
        <is>
          <t xml:space="preserve">  • Reactor heating - Small/Medium</t>
        </is>
      </c>
    </row>
    <row r="62">
      <c r="A62" s="31" t="inlineStr">
        <is>
          <t xml:space="preserve">  • Fermentation - All sizes</t>
        </is>
      </c>
    </row>
    <row r="65">
      <c r="A65" s="15" t="inlineStr">
        <is>
          <t>SOURCE REFERENCES</t>
        </is>
      </c>
      <c r="B65" s="49" t="n"/>
      <c r="C65" s="49" t="n"/>
      <c r="D65" s="49" t="n"/>
      <c r="E65" s="49" t="n"/>
      <c r="F65" s="17" t="n"/>
      <c r="G65" s="17" t="n"/>
      <c r="H65" s="17" t="n"/>
      <c r="I65" s="17" t="n"/>
      <c r="J65" s="17" t="n"/>
    </row>
    <row r="66">
      <c r="A66" s="41" t="inlineStr">
        <is>
          <t>AHDB Horticulture</t>
        </is>
      </c>
      <c r="B66" s="41" t="inlineStr">
        <is>
          <t>UK Agriculture &amp; Horticulture Development Board - Glasshouse energy benchmarks</t>
        </is>
      </c>
      <c r="C66" s="19" t="n"/>
      <c r="D66" s="19" t="n"/>
      <c r="E66" s="19" t="n"/>
    </row>
    <row r="67">
      <c r="A67" s="41" t="inlineStr">
        <is>
          <t>Alfa Laval CIP Systems</t>
        </is>
      </c>
      <c r="B67" s="41" t="inlineStr">
        <is>
          <t>Industrial CIP system specifications and energy requirements</t>
        </is>
      </c>
      <c r="C67" s="19" t="n"/>
      <c r="D67" s="19" t="n"/>
      <c r="E67" s="19" t="n"/>
    </row>
    <row r="68">
      <c r="A68" s="15" t="inlineStr">
        <is>
          <t>ΔT SOURCE REFERENCES</t>
        </is>
      </c>
      <c r="B68" s="15" t="inlineStr">
        <is>
          <t>Timber drying technology handbook</t>
        </is>
      </c>
      <c r="C68" s="49" t="n"/>
      <c r="D68" s="49" t="n"/>
      <c r="E68" s="49" t="n"/>
      <c r="F68" s="17" t="n"/>
      <c r="G68" s="17" t="n"/>
      <c r="H68" s="17" t="n"/>
      <c r="I68" s="17" t="n"/>
      <c r="J68" s="17" t="n"/>
    </row>
    <row r="69">
      <c r="A69" s="41" t="inlineStr">
        <is>
          <t>CIBSE Guide A/B</t>
        </is>
      </c>
      <c r="B69" s="41" t="inlineStr">
        <is>
          <t>UK Chartered Institution of Building Services Engineers design guides</t>
        </is>
      </c>
      <c r="C69" s="19" t="n"/>
      <c r="D69" s="19" t="n"/>
      <c r="E69" s="19" t="n"/>
    </row>
    <row r="70">
      <c r="A70" s="41" t="inlineStr">
        <is>
          <t>Process Type</t>
        </is>
      </c>
      <c r="B70" s="41" t="inlineStr">
        <is>
          <t>ΔT (°C)</t>
        </is>
      </c>
      <c r="C70" s="41" t="inlineStr">
        <is>
          <t>Source</t>
        </is>
      </c>
      <c r="D70" s="41" t="inlineStr">
        <is>
          <t>URL</t>
        </is>
      </c>
      <c r="E70" s="19" t="n"/>
    </row>
    <row r="71">
      <c r="A71" s="41" t="inlineStr">
        <is>
          <t>Pasteurisation</t>
        </is>
      </c>
      <c r="B71" s="48" t="n">
        <v>5</v>
      </c>
      <c r="C71" s="41" t="inlineStr">
        <is>
          <t>Tetra Pak Dairy Processing Handbook</t>
        </is>
      </c>
      <c r="D71" s="41" t="inlineStr">
        <is>
          <t>https://dairyprocessinghandbook.tetrapak.com/chapter/heat-exchangers</t>
        </is>
      </c>
      <c r="E71" s="19" t="n"/>
    </row>
    <row r="72">
      <c r="A72" s="41" t="inlineStr">
        <is>
          <t>CIP (Clean-in-Place)</t>
        </is>
      </c>
      <c r="B72" s="48" t="n">
        <v>12</v>
      </c>
      <c r="C72" s="41" t="inlineStr">
        <is>
          <t>CSI Designs - Heat Exchangers in CIP</t>
        </is>
      </c>
      <c r="D72" s="41" t="inlineStr">
        <is>
          <t>https://www.csidesigns.com/blog/articles/how-heat-exchangers-work-during-clean-in-place</t>
        </is>
      </c>
      <c r="E72" s="19" t="n"/>
    </row>
    <row r="73">
      <c r="A73" s="41" t="inlineStr">
        <is>
          <t>Bottle washing</t>
        </is>
      </c>
      <c r="B73" s="48" t="n">
        <v>10</v>
      </c>
      <c r="C73" s="41" t="inlineStr">
        <is>
          <t>GEA Brewing Systems</t>
        </is>
      </c>
      <c r="D73" s="41" t="inlineStr">
        <is>
          <t>https://www.gea.com/en/products/brewery-systems</t>
        </is>
      </c>
      <c r="E73" s="19" t="n"/>
    </row>
    <row r="74">
      <c r="A74" s="41" t="inlineStr">
        <is>
          <t>Parts degreasing</t>
        </is>
      </c>
      <c r="B74" s="48" t="n">
        <v>15</v>
      </c>
      <c r="C74" s="41" t="inlineStr">
        <is>
          <t>Dürr Systems AG</t>
        </is>
      </c>
      <c r="D74" s="41" t="inlineStr">
        <is>
          <t>https://www.durr.com/en/products-and-services/cleaning-technology</t>
        </is>
      </c>
      <c r="E74" s="19" t="n"/>
    </row>
    <row r="75">
      <c r="A75" s="41" t="inlineStr">
        <is>
          <t>Commercial laundry</t>
        </is>
      </c>
      <c r="B75" s="48" t="n">
        <v>18</v>
      </c>
      <c r="C75" s="41" t="inlineStr">
        <is>
          <t>AERCO Laundry Sizing Guide</t>
        </is>
      </c>
      <c r="D75" s="41" t="inlineStr">
        <is>
          <t>https://www.aerco.com/dfsmedia/0533dbba17714b1ab581ab07a4cbb521/58930-source/sizing-laundry-hot-water-systems</t>
        </is>
      </c>
      <c r="E75" s="19" t="n"/>
    </row>
    <row r="76">
      <c r="A76" s="41" t="inlineStr">
        <is>
          <t>Timber drying</t>
        </is>
      </c>
      <c r="B76" s="48" t="n">
        <v>18</v>
      </c>
      <c r="C76" s="41" t="inlineStr">
        <is>
          <t>Oklahoma State Extension - Kiln Drying</t>
        </is>
      </c>
      <c r="D76" s="41" t="inlineStr">
        <is>
          <t>https://extension.okstate.edu/fact-sheets/fundamental-aspects-of-kiln-drying-lumber.html</t>
        </is>
      </c>
      <c r="E76" s="19" t="n"/>
    </row>
    <row r="77">
      <c r="A77" s="41" t="inlineStr">
        <is>
          <t>Paint curing</t>
        </is>
      </c>
      <c r="B77" s="48" t="n">
        <v>15</v>
      </c>
      <c r="C77" s="41" t="inlineStr">
        <is>
          <t>Dürr Paint Systems</t>
        </is>
      </c>
      <c r="D77" s="41" t="inlineStr">
        <is>
          <t>https://www.durr.com/en/products-and-services/paint-systems</t>
        </is>
      </c>
      <c r="E77" s="19" t="n"/>
    </row>
    <row r="78">
      <c r="A78" s="41" t="inlineStr">
        <is>
          <t>Textile drying</t>
        </is>
      </c>
      <c r="B78" s="48" t="n">
        <v>20</v>
      </c>
      <c r="C78" s="41" t="inlineStr">
        <is>
          <t>Monforts Textilmaschinen</t>
        </is>
      </c>
      <c r="D78" s="41" t="inlineStr">
        <is>
          <t>https://www.monforts.de/en/</t>
        </is>
      </c>
      <c r="E78" s="19" t="n"/>
    </row>
    <row r="79">
      <c r="A79" s="41" t="inlineStr">
        <is>
          <t>District heating</t>
        </is>
      </c>
      <c r="B79" s="48" t="n">
        <v>30</v>
      </c>
      <c r="C79" s="41" t="inlineStr">
        <is>
          <t>CIBSE CP1 Heat Networks Code of Practice</t>
        </is>
      </c>
      <c r="D79" s="41" t="inlineStr">
        <is>
          <t>https://www.cibsejournal.com/technical/the-perfect-return-heat-network-return-temperatures/</t>
        </is>
      </c>
      <c r="E79" s="19" t="n"/>
    </row>
    <row r="80">
      <c r="A80" s="41" t="inlineStr">
        <is>
          <t>Building HVAC</t>
        </is>
      </c>
      <c r="B80" s="48" t="n">
        <v>12</v>
      </c>
      <c r="C80" s="41" t="inlineStr">
        <is>
          <t>ASHRAE 90.1 / CIBSE Guide B</t>
        </is>
      </c>
      <c r="D80" s="41" t="inlineStr">
        <is>
          <t>https://www.trane.com/content/dam/Trane/Commercial/global/products-systems/education-training/engineers-newsletters/standards-codes/ADM-APN070-EN_06032019.pdf</t>
        </is>
      </c>
      <c r="E80" s="19" t="n"/>
    </row>
    <row r="81">
      <c r="A81" s="31" t="inlineStr">
        <is>
          <t>Swimming pool</t>
        </is>
      </c>
      <c r="B81" s="27" t="n">
        <v>5</v>
      </c>
      <c r="C81" t="inlineStr">
        <is>
          <t>Kensa Heat Pumps - Pools Application Guide</t>
        </is>
      </c>
      <c r="D81" s="8" t="inlineStr">
        <is>
          <t>https://www.kensaheatpumps.com/wp-content/uploads/2014/09/AIS—Heat-pumps-and-swimming-pools-—2.0_with_metadata.pdf</t>
        </is>
      </c>
    </row>
    <row r="82">
      <c r="A82" s="31" t="inlineStr">
        <is>
          <t>Glasshouse heating</t>
        </is>
      </c>
      <c r="B82" s="27" t="n">
        <v>20</v>
      </c>
      <c r="C82" t="inlineStr">
        <is>
          <t>Dutch Greenhouses / AHDB Horticulture</t>
        </is>
      </c>
      <c r="D82" s="8" t="inlineStr">
        <is>
          <t>https://dutchgreenhouses.com/en/climate/heating</t>
        </is>
      </c>
    </row>
    <row r="83">
      <c r="A83" s="31" t="inlineStr">
        <is>
          <t>Reactor heating</t>
        </is>
      </c>
      <c r="B83" s="27" t="n">
        <v>10</v>
      </c>
      <c r="C83" t="inlineStr">
        <is>
          <t>IChemE Process Data</t>
        </is>
      </c>
      <c r="D83" s="8" t="inlineStr">
        <is>
          <t>https://www.icheme.org/</t>
        </is>
      </c>
    </row>
    <row r="84">
      <c r="A84" s="31" t="inlineStr">
        <is>
          <t>Fermentation</t>
        </is>
      </c>
      <c r="B84" s="27" t="n">
        <v>5</v>
      </c>
      <c r="C84" t="inlineStr">
        <is>
          <t>Clarke Energy / Brewery Best Practice</t>
        </is>
      </c>
      <c r="D84" s="8" t="inlineStr">
        <is>
          <t>https://www.clarke-energy.com/applications/breweries/</t>
        </is>
      </c>
    </row>
    <row r="87">
      <c r="A87" s="15" t="inlineStr">
        <is>
          <t>NOTES ON ΔT VALUES</t>
        </is>
      </c>
      <c r="B87" s="49" t="n"/>
      <c r="C87" s="49" t="n"/>
      <c r="D87" s="49" t="n"/>
      <c r="E87" s="49" t="n"/>
      <c r="F87" s="17" t="n"/>
      <c r="G87" s="17" t="n"/>
      <c r="H87" s="17" t="n"/>
      <c r="I87" s="17" t="n"/>
      <c r="J87" s="17" t="n"/>
    </row>
    <row r="88">
      <c r="A88" s="31" t="inlineStr">
        <is>
          <t>• ΔT = temperature difference between supply and return water in the process heat loop</t>
        </is>
      </c>
    </row>
    <row r="89">
      <c r="A89" s="31" t="inlineStr">
        <is>
          <t>• Lower ΔT (5°C) = tight temperature control required, higher flow rate needed</t>
        </is>
      </c>
    </row>
    <row r="90">
      <c r="A90" s="31" t="inlineStr">
        <is>
          <t>• Higher ΔT (30°C) = wider temperature tolerance, lower flow rate acceptable</t>
        </is>
      </c>
    </row>
    <row r="91">
      <c r="A91" s="31" t="inlineStr">
        <is>
          <t>• Flow rate (m³/hr) = Thermal load (kW) / (4.18 × ΔT) × 3.6</t>
        </is>
      </c>
    </row>
    <row r="92">
      <c r="A92" s="31" t="inlineStr">
        <is>
          <t>• A process with ΔT=5°C needs 6× the flow rate of one with ΔT=30°C for same thermal load</t>
        </is>
      </c>
    </row>
  </sheetData>
  <hyperlinks>
    <hyperlink xmlns:r="http://schemas.openxmlformats.org/officeDocument/2006/relationships" ref="D71" r:id="rId1"/>
    <hyperlink xmlns:r="http://schemas.openxmlformats.org/officeDocument/2006/relationships" ref="D72" r:id="rId2"/>
    <hyperlink xmlns:r="http://schemas.openxmlformats.org/officeDocument/2006/relationships" ref="D73" r:id="rId3"/>
    <hyperlink xmlns:r="http://schemas.openxmlformats.org/officeDocument/2006/relationships" ref="D74" r:id="rId4"/>
    <hyperlink xmlns:r="http://schemas.openxmlformats.org/officeDocument/2006/relationships" ref="D75" r:id="rId5"/>
    <hyperlink xmlns:r="http://schemas.openxmlformats.org/officeDocument/2006/relationships" ref="D76" r:id="rId6"/>
    <hyperlink xmlns:r="http://schemas.openxmlformats.org/officeDocument/2006/relationships" ref="D77" r:id="rId7"/>
    <hyperlink xmlns:r="http://schemas.openxmlformats.org/officeDocument/2006/relationships" ref="D78" r:id="rId8"/>
    <hyperlink xmlns:r="http://schemas.openxmlformats.org/officeDocument/2006/relationships" ref="D79" r:id="rId9"/>
    <hyperlink xmlns:r="http://schemas.openxmlformats.org/officeDocument/2006/relationships" ref="D80" r:id="rId10"/>
    <hyperlink xmlns:r="http://schemas.openxmlformats.org/officeDocument/2006/relationships" ref="D81" r:id="rId11"/>
    <hyperlink xmlns:r="http://schemas.openxmlformats.org/officeDocument/2006/relationships" ref="D82" r:id="rId12"/>
    <hyperlink xmlns:r="http://schemas.openxmlformats.org/officeDocument/2006/relationships" ref="D83" r:id="rId13"/>
    <hyperlink xmlns:r="http://schemas.openxmlformats.org/officeDocument/2006/relationships" ref="D84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2026-01-20T15:28:09Z</dcterms:created>
  <dcterms:modified xmlns:dcterms="http://purl.org/dc/terms/" xmlns:xsi="http://www.w3.org/2001/XMLSchema-instance" xsi:type="dcterms:W3CDTF">2026-01-21T19:04:13Z</dcterms:modified>
  <cp:lastModifiedBy>Alex Woodgate</cp:lastModifiedBy>
</cp:coreProperties>
</file>